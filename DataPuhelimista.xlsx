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8384994274fdb/Työpöytä/Työt/POWERBI TYÖT/Työt SmartLeanille/puhelinkorjaus/"/>
    </mc:Choice>
  </mc:AlternateContent>
  <xr:revisionPtr revIDLastSave="1219" documentId="8_{97474ADD-9EA3-4ABE-8D87-5B64F76ECB7C}" xr6:coauthVersionLast="47" xr6:coauthVersionMax="47" xr10:uidLastSave="{DBA7403B-C176-4FC1-A56C-6787DAAC051C}"/>
  <bookViews>
    <workbookView xWindow="-120" yWindow="-120" windowWidth="51840" windowHeight="21120" activeTab="8" xr2:uid="{0396DE2E-1F1E-4128-94E4-208AA605F1F3}"/>
  </bookViews>
  <sheets>
    <sheet name="Liikkeet" sheetId="9" r:id="rId1"/>
    <sheet name="Puhelin merkki ja malli" sheetId="2" r:id="rId2"/>
    <sheet name="Puhelin tuotehinta" sheetId="3" r:id="rId3"/>
    <sheet name="Puhelin Hinta" sheetId="4" r:id="rId4"/>
    <sheet name="Älykello merkki ja malli" sheetId="6" r:id="rId5"/>
    <sheet name="Älykello tuotehinta" sheetId="7" r:id="rId6"/>
    <sheet name="Älykellon Hinta" sheetId="8" r:id="rId7"/>
    <sheet name="DataPuhelimista" sheetId="1" r:id="rId8"/>
    <sheet name="DataÄlykelloista" sheetId="5" r:id="rId9"/>
  </sheets>
  <definedNames>
    <definedName name="ExternalData_1" localSheetId="1" hidden="1">'Puhelin merkki ja malli'!$A$1:$B$31</definedName>
    <definedName name="ExternalData_2" localSheetId="4" hidden="1">'Älykello merkki ja malli'!$A$1:$B$16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I2" i="5" a="1"/>
  <c r="I2" i="5" s="1"/>
  <c r="I3" i="5" a="1"/>
  <c r="I3" i="5" s="1"/>
  <c r="I4" i="5" a="1"/>
  <c r="I4" i="5" s="1"/>
  <c r="I5" i="5" a="1"/>
  <c r="I5" i="5" s="1"/>
  <c r="I6" i="5" a="1"/>
  <c r="I6" i="5" s="1"/>
  <c r="I7" i="5" a="1"/>
  <c r="I7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 s="1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 s="1"/>
  <c r="I68" i="5" a="1"/>
  <c r="I68" i="5" s="1"/>
  <c r="I69" i="5" a="1"/>
  <c r="I69" i="5" s="1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 s="1"/>
  <c r="I76" i="5" a="1"/>
  <c r="I76" i="5" s="1"/>
  <c r="E62" i="5"/>
  <c r="E63" i="5"/>
  <c r="E64" i="5"/>
  <c r="E65" i="5"/>
  <c r="E66" i="5"/>
  <c r="E67" i="5"/>
  <c r="E68" i="5"/>
  <c r="E69" i="5"/>
  <c r="E70" i="5"/>
  <c r="E71" i="5"/>
  <c r="F71" i="5" s="1"/>
  <c r="E72" i="5"/>
  <c r="F72" i="5" s="1"/>
  <c r="E73" i="5"/>
  <c r="F73" i="5" s="1"/>
  <c r="E74" i="5"/>
  <c r="F74" i="5" s="1"/>
  <c r="E75" i="5"/>
  <c r="F75" i="5" s="1"/>
  <c r="E76" i="5"/>
  <c r="F76" i="5" s="1"/>
  <c r="F62" i="5"/>
  <c r="F63" i="5"/>
  <c r="F64" i="5"/>
  <c r="F65" i="5"/>
  <c r="F66" i="5"/>
  <c r="F67" i="5"/>
  <c r="F68" i="5"/>
  <c r="F69" i="5"/>
  <c r="F70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E48" i="5"/>
  <c r="F48" i="5" s="1"/>
  <c r="E49" i="5"/>
  <c r="F49" i="5" s="1"/>
  <c r="E50" i="5"/>
  <c r="F50" i="5" s="1"/>
  <c r="E51" i="5"/>
  <c r="E52" i="5"/>
  <c r="E53" i="5"/>
  <c r="E54" i="5"/>
  <c r="E55" i="5"/>
  <c r="E56" i="5"/>
  <c r="E57" i="5"/>
  <c r="E58" i="5"/>
  <c r="F58" i="5" s="1"/>
  <c r="E59" i="5"/>
  <c r="F59" i="5" s="1"/>
  <c r="E60" i="5"/>
  <c r="F60" i="5" s="1"/>
  <c r="E61" i="5"/>
  <c r="F61" i="5" s="1"/>
  <c r="F51" i="5"/>
  <c r="F52" i="5"/>
  <c r="F53" i="5"/>
  <c r="F54" i="5"/>
  <c r="F55" i="5"/>
  <c r="F56" i="5"/>
  <c r="F5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47" i="5"/>
  <c r="E47" i="5"/>
  <c r="F47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E28" i="5"/>
  <c r="F28" i="5" s="1"/>
  <c r="A28" i="5"/>
  <c r="E27" i="5"/>
  <c r="F27" i="5" s="1"/>
  <c r="A27" i="5"/>
  <c r="E26" i="5"/>
  <c r="F26" i="5" s="1"/>
  <c r="A26" i="5"/>
  <c r="E31" i="5"/>
  <c r="F31" i="5" s="1"/>
  <c r="A31" i="5"/>
  <c r="E30" i="5"/>
  <c r="F30" i="5" s="1"/>
  <c r="A30" i="5"/>
  <c r="E29" i="5"/>
  <c r="F29" i="5" s="1"/>
  <c r="A29" i="5"/>
  <c r="E19" i="5"/>
  <c r="F19" i="5" s="1"/>
  <c r="A19" i="5"/>
  <c r="E18" i="5"/>
  <c r="F18" i="5" s="1"/>
  <c r="A18" i="5"/>
  <c r="E17" i="5"/>
  <c r="F17" i="5" s="1"/>
  <c r="A17" i="5"/>
  <c r="E22" i="5"/>
  <c r="F22" i="5" s="1"/>
  <c r="A22" i="5"/>
  <c r="E21" i="5"/>
  <c r="F21" i="5" s="1"/>
  <c r="A21" i="5"/>
  <c r="E20" i="5"/>
  <c r="F20" i="5" s="1"/>
  <c r="A20" i="5"/>
  <c r="E25" i="5"/>
  <c r="F25" i="5" s="1"/>
  <c r="A25" i="5"/>
  <c r="E24" i="5"/>
  <c r="F24" i="5" s="1"/>
  <c r="A24" i="5"/>
  <c r="E23" i="5"/>
  <c r="F23" i="5" s="1"/>
  <c r="A23" i="5"/>
  <c r="E11" i="5"/>
  <c r="F11" i="5" s="1"/>
  <c r="E12" i="5"/>
  <c r="F12" i="5" s="1"/>
  <c r="E13" i="5"/>
  <c r="F13" i="5" s="1"/>
  <c r="E2" i="5"/>
  <c r="F2" i="5" s="1"/>
  <c r="E3" i="5"/>
  <c r="F3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4" i="5"/>
  <c r="F14" i="5" s="1"/>
  <c r="E15" i="5"/>
  <c r="F15" i="5" s="1"/>
  <c r="E16" i="5"/>
  <c r="F16" i="5" s="1"/>
  <c r="A12" i="5"/>
  <c r="A13" i="5"/>
  <c r="A2" i="5"/>
  <c r="A3" i="5"/>
  <c r="A4" i="5"/>
  <c r="A5" i="5"/>
  <c r="A6" i="5"/>
  <c r="A7" i="5"/>
  <c r="A8" i="5"/>
  <c r="A9" i="5"/>
  <c r="A10" i="5"/>
  <c r="A14" i="5"/>
  <c r="A15" i="5"/>
  <c r="A16" i="5"/>
  <c r="A11" i="5"/>
  <c r="F5" i="1"/>
  <c r="F6" i="1"/>
  <c r="F7" i="1"/>
  <c r="F35" i="1"/>
  <c r="F9" i="1"/>
  <c r="F11" i="1"/>
  <c r="F12" i="1"/>
  <c r="F13" i="1"/>
  <c r="F23" i="1"/>
  <c r="F30" i="1"/>
  <c r="F32" i="1"/>
  <c r="F37" i="1"/>
  <c r="F10" i="1"/>
  <c r="F39" i="1"/>
  <c r="F44" i="1"/>
  <c r="F45" i="1"/>
  <c r="F48" i="1"/>
  <c r="F52" i="1"/>
  <c r="F53" i="1"/>
  <c r="F56" i="1"/>
  <c r="F31" i="1"/>
  <c r="F59" i="1"/>
  <c r="F60" i="1"/>
  <c r="F62" i="1"/>
  <c r="F63" i="1"/>
  <c r="F64" i="1"/>
  <c r="F69" i="1"/>
  <c r="F71" i="1"/>
  <c r="F72" i="1"/>
  <c r="F78" i="1"/>
  <c r="F79" i="1"/>
  <c r="F80" i="1"/>
  <c r="F86" i="1"/>
  <c r="F87" i="1"/>
  <c r="F88" i="1"/>
  <c r="F92" i="1"/>
  <c r="F93" i="1"/>
  <c r="F97" i="1"/>
  <c r="F99" i="1"/>
  <c r="F101" i="1"/>
  <c r="F104" i="1"/>
  <c r="F108" i="1"/>
  <c r="F109" i="1"/>
  <c r="F112" i="1"/>
  <c r="F116" i="1"/>
  <c r="F117" i="1"/>
  <c r="F119" i="1"/>
  <c r="F126" i="1"/>
  <c r="F127" i="1"/>
  <c r="F100" i="1"/>
  <c r="F129" i="1"/>
  <c r="F135" i="1"/>
  <c r="F136" i="1"/>
  <c r="F137" i="1"/>
  <c r="F143" i="1"/>
  <c r="F144" i="1"/>
  <c r="F145" i="1"/>
  <c r="F1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122" i="1"/>
  <c r="J123" i="1"/>
  <c r="J124" i="1"/>
  <c r="J126" i="1"/>
  <c r="J127" i="1"/>
  <c r="J125" i="1"/>
  <c r="J129" i="1"/>
  <c r="J130" i="1"/>
  <c r="J128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50" i="1"/>
  <c r="J151" i="1"/>
  <c r="J149" i="1"/>
  <c r="J32" i="1"/>
  <c r="J33" i="1"/>
  <c r="J34" i="1"/>
  <c r="J36" i="1"/>
  <c r="J37" i="1"/>
  <c r="J35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6" i="1"/>
  <c r="J67" i="1"/>
  <c r="J65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6" i="1"/>
  <c r="J97" i="1"/>
  <c r="J95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E121" i="1"/>
  <c r="F121" i="1" s="1"/>
  <c r="E120" i="1"/>
  <c r="F120" i="1" s="1"/>
  <c r="E119" i="1"/>
  <c r="E118" i="1"/>
  <c r="F118" i="1" s="1"/>
  <c r="E117" i="1"/>
  <c r="E116" i="1"/>
  <c r="E115" i="1"/>
  <c r="F115" i="1" s="1"/>
  <c r="E114" i="1"/>
  <c r="F114" i="1" s="1"/>
  <c r="E113" i="1"/>
  <c r="F113" i="1" s="1"/>
  <c r="E112" i="1"/>
  <c r="E111" i="1"/>
  <c r="F111" i="1" s="1"/>
  <c r="E110" i="1"/>
  <c r="F110" i="1" s="1"/>
  <c r="E109" i="1"/>
  <c r="E108" i="1"/>
  <c r="E107" i="1"/>
  <c r="F107" i="1" s="1"/>
  <c r="E106" i="1"/>
  <c r="F106" i="1" s="1"/>
  <c r="E105" i="1"/>
  <c r="F105" i="1" s="1"/>
  <c r="E104" i="1"/>
  <c r="E103" i="1"/>
  <c r="F103" i="1" s="1"/>
  <c r="E102" i="1"/>
  <c r="F102" i="1" s="1"/>
  <c r="E101" i="1"/>
  <c r="E100" i="1"/>
  <c r="E99" i="1"/>
  <c r="E98" i="1"/>
  <c r="F98" i="1" s="1"/>
  <c r="E95" i="1"/>
  <c r="F95" i="1" s="1"/>
  <c r="E97" i="1"/>
  <c r="E96" i="1"/>
  <c r="F96" i="1" s="1"/>
  <c r="E94" i="1"/>
  <c r="F94" i="1" s="1"/>
  <c r="E93" i="1"/>
  <c r="E92" i="1"/>
  <c r="I92" i="1" a="1"/>
  <c r="I92" i="1" s="1"/>
  <c r="I93" i="1" a="1"/>
  <c r="I93" i="1" s="1"/>
  <c r="I94" i="1" a="1"/>
  <c r="I94" i="1" s="1"/>
  <c r="I96" i="1" a="1"/>
  <c r="I96" i="1" s="1"/>
  <c r="I97" i="1" a="1"/>
  <c r="I97" i="1" s="1"/>
  <c r="I95" i="1" a="1"/>
  <c r="I95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A92" i="1"/>
  <c r="A93" i="1"/>
  <c r="A94" i="1"/>
  <c r="A96" i="1"/>
  <c r="A97" i="1"/>
  <c r="A95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E91" i="1"/>
  <c r="F91" i="1" s="1"/>
  <c r="E90" i="1"/>
  <c r="F90" i="1" s="1"/>
  <c r="E89" i="1"/>
  <c r="F89" i="1" s="1"/>
  <c r="E88" i="1"/>
  <c r="E87" i="1"/>
  <c r="E86" i="1"/>
  <c r="E85" i="1"/>
  <c r="F85" i="1" s="1"/>
  <c r="E84" i="1"/>
  <c r="F84" i="1" s="1"/>
  <c r="E83" i="1"/>
  <c r="F83" i="1" s="1"/>
  <c r="E82" i="1"/>
  <c r="F82" i="1" s="1"/>
  <c r="E81" i="1"/>
  <c r="F81" i="1" s="1"/>
  <c r="E80" i="1"/>
  <c r="E79" i="1"/>
  <c r="E78" i="1"/>
  <c r="E77" i="1"/>
  <c r="F77" i="1" s="1"/>
  <c r="E76" i="1"/>
  <c r="F76" i="1" s="1"/>
  <c r="E75" i="1"/>
  <c r="F75" i="1" s="1"/>
  <c r="E74" i="1"/>
  <c r="F74" i="1" s="1"/>
  <c r="E73" i="1"/>
  <c r="F73" i="1" s="1"/>
  <c r="E72" i="1"/>
  <c r="E71" i="1"/>
  <c r="E70" i="1"/>
  <c r="F70" i="1" s="1"/>
  <c r="E69" i="1"/>
  <c r="E68" i="1"/>
  <c r="F68" i="1" s="1"/>
  <c r="E65" i="1"/>
  <c r="F65" i="1" s="1"/>
  <c r="E67" i="1"/>
  <c r="F67" i="1" s="1"/>
  <c r="E66" i="1"/>
  <c r="F66" i="1" s="1"/>
  <c r="E64" i="1"/>
  <c r="E63" i="1"/>
  <c r="E62" i="1"/>
  <c r="I62" i="1" a="1"/>
  <c r="I62" i="1" s="1"/>
  <c r="I63" i="1" a="1"/>
  <c r="I63" i="1" s="1"/>
  <c r="I64" i="1" a="1"/>
  <c r="I64" i="1" s="1"/>
  <c r="I66" i="1" a="1"/>
  <c r="I66" i="1" s="1"/>
  <c r="I67" i="1" a="1"/>
  <c r="I67" i="1" s="1"/>
  <c r="I65" i="1" a="1"/>
  <c r="I65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A62" i="1"/>
  <c r="A63" i="1"/>
  <c r="A64" i="1"/>
  <c r="A66" i="1"/>
  <c r="A67" i="1"/>
  <c r="A65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E61" i="1"/>
  <c r="F61" i="1" s="1"/>
  <c r="E60" i="1"/>
  <c r="E59" i="1"/>
  <c r="E58" i="1"/>
  <c r="F58" i="1" s="1"/>
  <c r="E57" i="1"/>
  <c r="F57" i="1" s="1"/>
  <c r="E56" i="1"/>
  <c r="E55" i="1"/>
  <c r="F55" i="1" s="1"/>
  <c r="E54" i="1"/>
  <c r="F54" i="1" s="1"/>
  <c r="E53" i="1"/>
  <c r="E52" i="1"/>
  <c r="E51" i="1"/>
  <c r="F51" i="1" s="1"/>
  <c r="E50" i="1"/>
  <c r="F50" i="1" s="1"/>
  <c r="E49" i="1"/>
  <c r="F49" i="1" s="1"/>
  <c r="E48" i="1"/>
  <c r="E47" i="1"/>
  <c r="F47" i="1" s="1"/>
  <c r="E46" i="1"/>
  <c r="F46" i="1" s="1"/>
  <c r="E45" i="1"/>
  <c r="E44" i="1"/>
  <c r="E43" i="1"/>
  <c r="F43" i="1" s="1"/>
  <c r="E42" i="1"/>
  <c r="F42" i="1" s="1"/>
  <c r="E41" i="1"/>
  <c r="F41" i="1" s="1"/>
  <c r="E40" i="1"/>
  <c r="F40" i="1" s="1"/>
  <c r="E39" i="1"/>
  <c r="E38" i="1"/>
  <c r="F38" i="1" s="1"/>
  <c r="E35" i="1"/>
  <c r="E37" i="1"/>
  <c r="E36" i="1"/>
  <c r="F36" i="1" s="1"/>
  <c r="E34" i="1"/>
  <c r="F34" i="1" s="1"/>
  <c r="E33" i="1"/>
  <c r="F33" i="1" s="1"/>
  <c r="E32" i="1"/>
  <c r="I61" i="1" a="1"/>
  <c r="I61" i="1" s="1"/>
  <c r="A61" i="1"/>
  <c r="I60" i="1" a="1"/>
  <c r="I60" i="1" s="1"/>
  <c r="A60" i="1"/>
  <c r="I32" i="1" a="1"/>
  <c r="I32" i="1" s="1"/>
  <c r="I33" i="1" a="1"/>
  <c r="I33" i="1" s="1"/>
  <c r="I34" i="1" a="1"/>
  <c r="I34" i="1" s="1"/>
  <c r="I36" i="1" a="1"/>
  <c r="I36" i="1" s="1"/>
  <c r="I37" i="1" a="1"/>
  <c r="I37" i="1" s="1"/>
  <c r="I35" i="1" a="1"/>
  <c r="I35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A32" i="1"/>
  <c r="A33" i="1"/>
  <c r="A34" i="1"/>
  <c r="A36" i="1"/>
  <c r="A37" i="1"/>
  <c r="A35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E126" i="1"/>
  <c r="E149" i="1"/>
  <c r="F149" i="1" s="1"/>
  <c r="E151" i="1"/>
  <c r="E150" i="1"/>
  <c r="F150" i="1" s="1"/>
  <c r="E148" i="1"/>
  <c r="F148" i="1" s="1"/>
  <c r="E147" i="1"/>
  <c r="F147" i="1" s="1"/>
  <c r="E146" i="1"/>
  <c r="F146" i="1" s="1"/>
  <c r="E145" i="1"/>
  <c r="E144" i="1"/>
  <c r="E143" i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E136" i="1"/>
  <c r="E135" i="1"/>
  <c r="E134" i="1"/>
  <c r="F134" i="1" s="1"/>
  <c r="E133" i="1"/>
  <c r="F133" i="1" s="1"/>
  <c r="E132" i="1"/>
  <c r="F132" i="1" s="1"/>
  <c r="E131" i="1"/>
  <c r="F131" i="1" s="1"/>
  <c r="E128" i="1"/>
  <c r="F128" i="1" s="1"/>
  <c r="E130" i="1"/>
  <c r="F130" i="1" s="1"/>
  <c r="E129" i="1"/>
  <c r="E125" i="1"/>
  <c r="F125" i="1" s="1"/>
  <c r="E127" i="1"/>
  <c r="E124" i="1"/>
  <c r="F124" i="1" s="1"/>
  <c r="E123" i="1"/>
  <c r="F123" i="1" s="1"/>
  <c r="E122" i="1"/>
  <c r="F122" i="1" s="1"/>
  <c r="I149" i="1" a="1"/>
  <c r="I149" i="1" s="1"/>
  <c r="A149" i="1"/>
  <c r="I122" i="1" a="1"/>
  <c r="I122" i="1" s="1"/>
  <c r="I123" i="1" a="1"/>
  <c r="I123" i="1" s="1"/>
  <c r="I124" i="1" a="1"/>
  <c r="I124" i="1" s="1"/>
  <c r="I126" i="1" a="1"/>
  <c r="I126" i="1" s="1"/>
  <c r="I127" i="1" a="1"/>
  <c r="I127" i="1" s="1"/>
  <c r="I125" i="1" a="1"/>
  <c r="I125" i="1" s="1"/>
  <c r="I129" i="1" a="1"/>
  <c r="I129" i="1" s="1"/>
  <c r="I130" i="1" a="1"/>
  <c r="I130" i="1" s="1"/>
  <c r="I128" i="1" a="1"/>
  <c r="I128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50" i="1" a="1"/>
  <c r="I150" i="1" s="1"/>
  <c r="I151" i="1" a="1"/>
  <c r="I151" i="1" s="1"/>
  <c r="A122" i="1"/>
  <c r="A123" i="1"/>
  <c r="A124" i="1"/>
  <c r="A126" i="1"/>
  <c r="A127" i="1"/>
  <c r="A125" i="1"/>
  <c r="A129" i="1"/>
  <c r="A130" i="1"/>
  <c r="A128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50" i="1"/>
  <c r="A15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  <c r="E5" i="1"/>
  <c r="E6" i="1"/>
  <c r="E7" i="1"/>
  <c r="E2" i="1"/>
  <c r="F2" i="1" s="1"/>
  <c r="E3" i="1"/>
  <c r="F3" i="1" s="1"/>
  <c r="E4" i="1"/>
  <c r="F4" i="1" s="1"/>
  <c r="E8" i="1"/>
  <c r="F8" i="1" s="1"/>
  <c r="E9" i="1"/>
  <c r="E10" i="1"/>
  <c r="E17" i="1"/>
  <c r="F17" i="1" s="1"/>
  <c r="E18" i="1"/>
  <c r="F18" i="1" s="1"/>
  <c r="E19" i="1"/>
  <c r="F19" i="1" s="1"/>
  <c r="E14" i="1"/>
  <c r="F14" i="1" s="1"/>
  <c r="E15" i="1"/>
  <c r="F15" i="1" s="1"/>
  <c r="E16" i="1"/>
  <c r="F16" i="1" s="1"/>
  <c r="E11" i="1"/>
  <c r="E12" i="1"/>
  <c r="E13" i="1"/>
  <c r="E20" i="1"/>
  <c r="F20" i="1" s="1"/>
  <c r="E21" i="1"/>
  <c r="F21" i="1" s="1"/>
  <c r="E22" i="1"/>
  <c r="F22" i="1" s="1"/>
  <c r="E29" i="1"/>
  <c r="F29" i="1" s="1"/>
  <c r="E30" i="1"/>
  <c r="E31" i="1"/>
  <c r="E26" i="1"/>
  <c r="F26" i="1" s="1"/>
  <c r="E27" i="1"/>
  <c r="F27" i="1" s="1"/>
  <c r="E28" i="1"/>
  <c r="F28" i="1" s="1"/>
  <c r="E23" i="1"/>
  <c r="E24" i="1"/>
  <c r="F24" i="1" s="1"/>
  <c r="E25" i="1"/>
  <c r="F25" i="1" s="1"/>
  <c r="I5" i="1" a="1"/>
  <c r="I5" i="1" s="1"/>
  <c r="I6" i="1" a="1"/>
  <c r="I6" i="1" s="1"/>
  <c r="I7" i="1" a="1"/>
  <c r="I7" i="1" s="1"/>
  <c r="I2" i="1" a="1"/>
  <c r="I2" i="1" s="1"/>
  <c r="I3" i="1" a="1"/>
  <c r="I3" i="1" s="1"/>
  <c r="I4" i="1" a="1"/>
  <c r="I4" i="1" s="1"/>
  <c r="I8" i="1" a="1"/>
  <c r="I8" i="1" s="1"/>
  <c r="I9" i="1" a="1"/>
  <c r="I9" i="1" s="1"/>
  <c r="I10" i="1" a="1"/>
  <c r="I10" i="1" s="1"/>
  <c r="I17" i="1" a="1"/>
  <c r="I17" i="1" s="1"/>
  <c r="I18" i="1" a="1"/>
  <c r="I18" i="1" s="1"/>
  <c r="I19" i="1" a="1"/>
  <c r="I19" i="1" s="1"/>
  <c r="I14" i="1" a="1"/>
  <c r="I14" i="1" s="1"/>
  <c r="I15" i="1" a="1"/>
  <c r="I15" i="1" s="1"/>
  <c r="I16" i="1" a="1"/>
  <c r="I16" i="1" s="1"/>
  <c r="I11" i="1" a="1"/>
  <c r="I11" i="1" s="1"/>
  <c r="I12" i="1" a="1"/>
  <c r="I12" i="1" s="1"/>
  <c r="I13" i="1" a="1"/>
  <c r="I13" i="1" s="1"/>
  <c r="I20" i="1" a="1"/>
  <c r="I20" i="1" s="1"/>
  <c r="I21" i="1" a="1"/>
  <c r="I21" i="1" s="1"/>
  <c r="I22" i="1" a="1"/>
  <c r="I22" i="1" s="1"/>
  <c r="I29" i="1" a="1"/>
  <c r="I29" i="1" s="1"/>
  <c r="I30" i="1" a="1"/>
  <c r="I30" i="1" s="1"/>
  <c r="I31" i="1" a="1"/>
  <c r="I31" i="1" s="1"/>
  <c r="I26" i="1" a="1"/>
  <c r="I26" i="1" s="1"/>
  <c r="I27" i="1" a="1"/>
  <c r="I27" i="1" s="1"/>
  <c r="I28" i="1" a="1"/>
  <c r="I28" i="1" s="1"/>
  <c r="I23" i="1" a="1"/>
  <c r="I23" i="1" s="1"/>
  <c r="I24" i="1" a="1"/>
  <c r="I24" i="1" s="1"/>
  <c r="I25" i="1" a="1"/>
  <c r="I2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6446DE-CD4D-4E3B-8C37-1FB9B9B3513B}" keepAlive="1" name="Query - Myydyimmät puhelimet" description="Connection to the 'Myydyimmät puhelimet' query in the workbook." type="5" refreshedVersion="8" background="1" saveData="1">
    <dbPr connection="Provider=Microsoft.Mashup.OleDb.1;Data Source=$Workbook$;Location=&quot;Myydyimmät puhelimet&quot;;Extended Properties=&quot;&quot;" command="SELECT * FROM [Myydyimmät puhelimet]"/>
  </connection>
  <connection id="2" xr16:uid="{1CD67374-83E2-445C-BFE7-431C8700903D}" keepAlive="1" name="Query - Myydyimmät puhelimet Duplikointi" description="Connection to the 'Myydyimmät puhelimet Duplikointi' query in the workbook." type="5" refreshedVersion="0" background="1" saveData="1">
    <dbPr connection="Provider=Microsoft.Mashup.OleDb.1;Data Source=$Workbook$;Location=&quot;Myydyimmät puhelimet Duplikointi&quot;;Extended Properties=&quot;&quot;" command="SELECT * FROM [Myydyimmät puhelimet Duplikointi]"/>
  </connection>
  <connection id="3" xr16:uid="{B254ED2A-64D9-4512-A945-0568BE42AC73}" keepAlive="1" name="Query - Myydyimmät älykellot" description="Connection to the 'Myydyimmät älykellot' query in the workbook." type="5" refreshedVersion="8" background="1" saveData="1">
    <dbPr connection="Provider=Microsoft.Mashup.OleDb.1;Data Source=$Workbook$;Location=&quot;Myydyimmät älykellot&quot;;Extended Properties=&quot;&quot;" command="SELECT * FROM [Myydyimmät älykellot]"/>
  </connection>
  <connection id="4" xr16:uid="{09CFCD7E-19B2-46D2-8DAD-81EAF6E98C09}" keepAlive="1" name="Query - Myydyimmät älykellot dupolikointi" description="Connection to the 'Myydyimmät älykellot dupolikointi' query in the workbook." type="5" refreshedVersion="0" background="1" saveData="1">
    <dbPr connection="Provider=Microsoft.Mashup.OleDb.1;Data Source=$Workbook$;Location=&quot;Myydyimmät älykellot dupolikointi&quot;;Extended Properties=&quot;&quot;" command="SELECT * FROM [Myydyimmät älykellot dupolikoint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<sst xmlns="http://schemas.openxmlformats.org/spreadsheetml/2006/main" count="1139" uniqueCount="88">
  <si>
    <t>Liike</t>
  </si>
  <si>
    <t>Tuote</t>
  </si>
  <si>
    <t>Fonum</t>
  </si>
  <si>
    <t>Samsung</t>
  </si>
  <si>
    <t>Akku</t>
  </si>
  <si>
    <t xml:space="preserve"> </t>
  </si>
  <si>
    <t>Vakuutuksen kesto kk</t>
  </si>
  <si>
    <t>Alkuperäinen osa true/false</t>
  </si>
  <si>
    <t>Merkki</t>
  </si>
  <si>
    <t>Malli</t>
  </si>
  <si>
    <t>A18</t>
  </si>
  <si>
    <t>Oppo</t>
  </si>
  <si>
    <t>Nord CE 3 Lite 5G</t>
  </si>
  <si>
    <t>12 5G</t>
  </si>
  <si>
    <t>Galaxy A15 5G</t>
  </si>
  <si>
    <t>Galaxy A55 5G</t>
  </si>
  <si>
    <t>Galaxy A25 5G</t>
  </si>
  <si>
    <t>OnePlus</t>
  </si>
  <si>
    <t>Nord CE4 Lite 5G</t>
  </si>
  <si>
    <t>Honor</t>
  </si>
  <si>
    <t>X6a</t>
  </si>
  <si>
    <t>Latausportti</t>
  </si>
  <si>
    <t>Apple</t>
  </si>
  <si>
    <t>iPhone 13 5G</t>
  </si>
  <si>
    <t>iPhone 15 Pro 5G</t>
  </si>
  <si>
    <t>Datan lähde: myydyimmät puhelimet 2024</t>
  </si>
  <si>
    <t>Näyttö</t>
  </si>
  <si>
    <t>Maker</t>
  </si>
  <si>
    <t>Model</t>
  </si>
  <si>
    <t>Tuotehinta €</t>
  </si>
  <si>
    <t>Korjauksen kesto tunneissa</t>
  </si>
  <si>
    <t>Korjauksenhinta€</t>
  </si>
  <si>
    <t>149 €</t>
  </si>
  <si>
    <t>119 €</t>
  </si>
  <si>
    <t>79 €</t>
  </si>
  <si>
    <t>429 €</t>
  </si>
  <si>
    <t>99 €</t>
  </si>
  <si>
    <t>129 €</t>
  </si>
  <si>
    <t>49 €</t>
  </si>
  <si>
    <t>ID</t>
  </si>
  <si>
    <t>Merkki ja malli</t>
  </si>
  <si>
    <t>Puhelinhuolto</t>
  </si>
  <si>
    <t>Jos rivi on merkitty keltaisella, kysy haastattelun aikana</t>
  </si>
  <si>
    <t>itapsa</t>
  </si>
  <si>
    <t>Average Price (EUR)</t>
  </si>
  <si>
    <t>Puhelimenhinta €</t>
  </si>
  <si>
    <t>Liike sekä merkki ja malli</t>
  </si>
  <si>
    <t>Xplora</t>
  </si>
  <si>
    <t>Watch XGO3 4G – lasten kellopuhelin</t>
  </si>
  <si>
    <t>Watch Series 9 GPS + Cellular</t>
  </si>
  <si>
    <t>Watch 2</t>
  </si>
  <si>
    <t>Watch SE GPS</t>
  </si>
  <si>
    <t>Takalasi</t>
  </si>
  <si>
    <t>Handleit</t>
  </si>
  <si>
    <t>Huawei</t>
  </si>
  <si>
    <t>Watch Fit 3</t>
  </si>
  <si>
    <t xml:space="preserve"> Korjauksenhinta €</t>
  </si>
  <si>
    <t>Älykellonhinta €</t>
  </si>
  <si>
    <t>Oneplus</t>
  </si>
  <si>
    <t>Hinta</t>
  </si>
  <si>
    <t>Lahden ATK klinikka</t>
  </si>
  <si>
    <t>Osoite</t>
  </si>
  <si>
    <t>Aleksanterinkatu 18</t>
  </si>
  <si>
    <t>Postiosoite</t>
  </si>
  <si>
    <t>Kaupunki</t>
  </si>
  <si>
    <t>Lahti</t>
  </si>
  <si>
    <t>Latitude</t>
  </si>
  <si>
    <t>Longitude</t>
  </si>
  <si>
    <t>Vapaudenkatu 9</t>
  </si>
  <si>
    <t>Ajokatu 55</t>
  </si>
  <si>
    <t>60.963646</t>
  </si>
  <si>
    <t>25.657684</t>
  </si>
  <si>
    <t>25.658643</t>
  </si>
  <si>
    <t>60.983812</t>
  </si>
  <si>
    <t>60.982613</t>
  </si>
  <si>
    <t>25.663280</t>
  </si>
  <si>
    <t>Vapaudenkatu 18</t>
  </si>
  <si>
    <t>60.983869</t>
  </si>
  <si>
    <t>25.660017</t>
  </si>
  <si>
    <t>Pasaasi 2</t>
  </si>
  <si>
    <t>Verkkosivu</t>
  </si>
  <si>
    <t>https://puhelinhuolto.fi/</t>
  </si>
  <si>
    <t>60.934333</t>
  </si>
  <si>
    <t>25.624150</t>
  </si>
  <si>
    <t>https://lahdenatk.fi/</t>
  </si>
  <si>
    <t>https://itapsa.com/myymala/lahti/</t>
  </si>
  <si>
    <t>https://www.handle-it.fi/</t>
  </si>
  <si>
    <t>https://www.fonum.fi/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</si>
</sst>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_-* #,##0\ [$€-1]_-;\-* #,##0\ [$€-1]_-;_-* &quot;-&quot;??\ [$€-1]_-;_-@_-"/>
  </numFmts>
  <fonts count="1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sz val="9"/>
      <color rgb="FF555555"/>
      <name val="Inherit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2" xfId="0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164" fontId="3" fillId="0" borderId="2" xfId="0" applyNumberFormat="1" applyFont="1" applyBorder="1" applyAlignment="1">
      <alignment horizontal="right" wrapText="1"/>
    </xf>
    <xf numFmtId="164" fontId="3" fillId="0" borderId="3" xfId="0" applyNumberFormat="1" applyFont="1" applyBorder="1" applyAlignment="1">
      <alignment horizontal="right" wrapText="1"/>
    </xf>
    <xf numFmtId="164" fontId="3" fillId="0" borderId="4" xfId="0" applyNumberFormat="1" applyFont="1" applyBorder="1" applyAlignment="1">
      <alignment horizontal="right" wrapText="1"/>
    </xf>
    <xf numFmtId="0" fontId="4" fillId="2" borderId="4" xfId="0" applyFont="1" applyFill="1" applyBorder="1" applyAlignment="1">
      <alignment wrapText="1"/>
    </xf>
    <xf numFmtId="0" fontId="4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wrapText="1"/>
    </xf>
    <xf numFmtId="164" fontId="3" fillId="3" borderId="4" xfId="0" applyNumberFormat="1" applyFont="1" applyFill="1" applyBorder="1" applyAlignment="1">
      <alignment horizontal="right" wrapText="1"/>
    </xf>
    <xf numFmtId="164" fontId="3" fillId="3" borderId="3" xfId="0" applyNumberFormat="1" applyFont="1" applyFill="1" applyBorder="1" applyAlignment="1">
      <alignment horizontal="right" wrapText="1"/>
    </xf>
    <xf numFmtId="0" fontId="9" fillId="4" borderId="0" xfId="0" applyFont="1" applyFill="1"/>
    <xf numFmtId="165" fontId="9" fillId="4" borderId="0" xfId="0" applyNumberFormat="1" applyFont="1" applyFill="1" applyAlignment="1">
      <alignment horizontal="right"/>
    </xf>
    <xf numFmtId="0" fontId="6" fillId="0" borderId="0" xfId="1" applyFont="1" applyBorder="1" applyAlignment="1"/>
    <xf numFmtId="0" fontId="7" fillId="0" borderId="0" xfId="0" applyFont="1"/>
    <xf numFmtId="0" fontId="8" fillId="0" borderId="0" xfId="0" applyFont="1"/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0" fillId="0" borderId="0" xfId="0" applyFont="1" applyAlignment="1">
      <alignment horizontal="left" vertical="center" wrapText="1" indent="1"/>
    </xf>
    <xf numFmtId="0" fontId="9" fillId="4" borderId="10" xfId="0" applyFont="1" applyFill="1" applyBorder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164" fontId="9" fillId="4" borderId="10" xfId="0" applyNumberFormat="1" applyFont="1" applyFill="1" applyBorder="1"/>
    <xf numFmtId="164" fontId="0" fillId="0" borderId="0" xfId="0" applyNumberFormat="1"/>
    <xf numFmtId="0" fontId="9" fillId="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164" fontId="9" fillId="4" borderId="0" xfId="0" applyNumberFormat="1" applyFont="1" applyFill="1"/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11" fillId="4" borderId="0" xfId="0" applyFont="1" applyFill="1"/>
  </cellXfs>
  <cellStyles count="2">
    <cellStyle name="Hyperlink" xfId="1" builtinId="8"/>
    <cellStyle name="Normal" xfId="0" builtinId="0"/>
  </cellStyles>
  <dxfs count="33">
    <dxf>
      <fill>
        <patternFill>
          <bgColor theme="8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/>
        </patternFill>
      </fill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\ &quot;€&quot;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\ &quot;€&quot;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\ &quot;€&quot;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border diagonalUp="0" diagonalDown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475B3D-0B44-40C9-9E58-C8901B119E36}" autoFormatId="16" applyNumberFormats="0" applyBorderFormats="0" applyFontFormats="0" applyPatternFormats="0" applyAlignmentFormats="0" applyWidthHeightFormats="0">
  <queryTableRefresh nextId="5">
    <queryTableFields count="2">
      <queryTableField id="3" name="Merkki" tableColumnId="3"/>
      <queryTableField id="2" name="Malli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B6E497D-B2B4-478A-8DB6-144A0EAC848D}" autoFormatId="16" applyNumberFormats="0" applyBorderFormats="0" applyFontFormats="0" applyPatternFormats="0" applyAlignmentFormats="0" applyWidthHeightFormats="0">
  <queryTableRefresh nextId="3">
    <queryTableFields count="2">
      <queryTableField id="1" name="Merkki" tableColumnId="1"/>
      <queryTableField id="2" name="Malli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E797B2-0150-43A0-B27B-E0BD0B36ED05}" name="Table6" displayName="Table6" ref="A1:G6" totalsRowShown="0">
  <autoFilter ref="A1:G6" xr:uid="{24E797B2-0150-43A0-B27B-E0BD0B36ED05}"/>
  <tableColumns count="7">
    <tableColumn id="1" xr3:uid="{6297D7E6-18FB-4387-8B7C-3EDD6C1FAB7B}" name="Liike"/>
    <tableColumn id="2" xr3:uid="{B3FCEB48-9046-4467-9AA7-0571976714C5}" name="Osoite"/>
    <tableColumn id="3" xr3:uid="{45AB3F1D-BED4-481A-A617-3E9EE148936F}" name="Postiosoite"/>
    <tableColumn id="4" xr3:uid="{39859709-5252-4E19-9614-7F8244B8166C}" name="Kaupunki"/>
    <tableColumn id="7" xr3:uid="{1FCB2D03-79B9-418A-9760-8FEC10A458EE}" name="Verkkosivu"/>
    <tableColumn id="5" xr3:uid="{C8A6497E-C3ED-435C-88EE-45852BF58335}" name="Latitude" dataCellStyle="Normal"/>
    <tableColumn id="6" xr3:uid="{0BB484B4-C1F2-44D6-AB99-0ED7D88D13AA}" name="Longitude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971463-B504-4DF0-B938-13CE6DC51C44}" name="Myydyimmät_puhelimet" displayName="Myydyimmät_puhelimet" ref="A1:B31" tableType="queryTable" totalsRowShown="0">
  <autoFilter ref="A1:B31" xr:uid="{B8971463-B504-4DF0-B938-13CE6DC51C44}"/>
  <sortState xmlns:xlrd2="http://schemas.microsoft.com/office/spreadsheetml/2017/richdata2" ref="A2:B31">
    <sortCondition ref="A1:A31"/>
  </sortState>
  <tableColumns count="2">
    <tableColumn id="3" xr3:uid="{EC61B24D-E27A-4C95-9284-4179C09CA13F}" uniqueName="3" name="Merkki" queryTableFieldId="3" dataDxfId="32"/>
    <tableColumn id="2" xr3:uid="{F5EC8A2C-92A9-4036-B0BB-9AB38CA61998}" uniqueName="2" name="Malli" queryTableFieldId="2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E566F0-EE27-4AD3-9941-064B792D1F6E}" name="Table3" displayName="Table3" ref="A1:C11" totalsRowShown="0" headerRowBorderDxfId="30" tableBorderDxfId="29" totalsRowBorderDxfId="28">
  <autoFilter ref="A1:C11" xr:uid="{BBE566F0-EE27-4AD3-9941-064B792D1F6E}"/>
  <tableColumns count="3">
    <tableColumn id="1" xr3:uid="{11B3E43A-2130-4B53-96B6-CD4850533480}" name="Maker" dataDxfId="27"/>
    <tableColumn id="2" xr3:uid="{0E522A24-8471-4789-8295-60AEAC757062}" name="Model" dataDxfId="26"/>
    <tableColumn id="3" xr3:uid="{D98A718B-FA81-41F8-8AC8-06AB64DA1BAE}" name="Average Price (EUR)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890F02-A5F1-4401-A708-814CCC1ECBF1}" name="Myydyimmät_älykellot" displayName="Myydyimmät_älykellot" ref="A1:B16" tableType="queryTable" totalsRowShown="0">
  <autoFilter ref="A1:B16" xr:uid="{C0890F02-A5F1-4401-A708-814CCC1ECBF1}"/>
  <sortState xmlns:xlrd2="http://schemas.microsoft.com/office/spreadsheetml/2017/richdata2" ref="A2:B13">
    <sortCondition descending="1" ref="B1:B12"/>
  </sortState>
  <tableColumns count="2">
    <tableColumn id="1" xr3:uid="{CA5C8568-C649-4D2E-80AE-D7153574AFC6}" uniqueName="1" name="Merkki" queryTableFieldId="1" dataDxfId="24"/>
    <tableColumn id="2" xr3:uid="{6EC7BB5E-B756-41AC-93E9-302D8FF4EA8C}" uniqueName="2" name="Malli" queryTableFieldId="2" dataDxf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03973-C181-4FA8-A4E9-CBC325CF0971}" name="Table1" displayName="Table1" ref="A1:M151" totalsRowShown="0" headerRowDxfId="22" dataDxfId="21" tableBorderDxfId="20" dataCellStyle="Normal">
  <autoFilter ref="A1:M151" xr:uid="{9C703973-C181-4FA8-A4E9-CBC325CF0971}"/>
  <sortState xmlns:xlrd2="http://schemas.microsoft.com/office/spreadsheetml/2017/richdata2" ref="A2:M151">
    <sortCondition ref="F1:F151"/>
  </sortState>
  <tableColumns count="13">
    <tableColumn id="7" xr3:uid="{21974E6F-D5DA-4601-8323-F689EB2D0C7E}" name="ID" dataDxfId="19" dataCellStyle="Normal">
      <calculatedColumnFormula>ROW(A2) - 1</calculatedColumnFormula>
    </tableColumn>
    <tableColumn id="1" xr3:uid="{339547EA-D65D-479B-8429-8D963E95CB7D}" name="Liike" dataDxfId="18" dataCellStyle="Normal"/>
    <tableColumn id="2" xr3:uid="{84650333-48C4-4108-8948-72E63F8DB5D1}" name="Merkki" dataDxfId="17" dataCellStyle="Normal"/>
    <tableColumn id="9" xr3:uid="{6913BB7A-F0D3-4D10-BE68-1903E3338EC4}" name="Malli" dataDxfId="16" dataCellStyle="Normal"/>
    <tableColumn id="10" xr3:uid="{9BEA89E8-7937-4B61-938E-5FBB084A577F}" name="Merkki ja malli" dataDxfId="15" dataCellStyle="Normal">
      <calculatedColumnFormula>Table1[[#This Row],[Merkki]] &amp; " " &amp; Table1[[#This Row],[Malli]]</calculatedColumnFormula>
    </tableColumn>
    <tableColumn id="13" xr3:uid="{382B5F6A-AF3C-4A8A-B9BC-A07903829326}" name="Liike sekä merkki ja malli" dataDxfId="14" dataCellStyle="Normal">
      <calculatedColumnFormula>Table1[[#This Row],[Liike]] &amp; " " &amp; Table1[[#This Row],[Merkki ja malli]]</calculatedColumnFormula>
    </tableColumn>
    <tableColumn id="3" xr3:uid="{692763D1-CEBA-4A82-B865-E84E2B4840DB}" name="Tuote" dataDxfId="13" dataCellStyle="Normal"/>
    <tableColumn id="4" xr3:uid="{D99B15DA-EB52-4687-9958-2DAD7FB2DDC2}" name="Korjauksenhinta€" dataDxfId="12" dataCellStyle="Normal"/>
    <tableColumn id="11" xr3:uid="{6F0F9AB1-EEF2-4BCE-B29B-201B5C415BC3}" name="Tuotehinta €" dataDxfId="11" dataCellStyle="Normal">
      <calculatedColumnFormula array="1">_xlfn.XLOOKUP(Table1[[#This Row],[Malli]],'Puhelin tuotehinta'!$B$2:$B$49,_xlfn.XLOOKUP(Table1[[#This Row],[Tuote]],'Puhelin tuotehinta'!$C$1:$E$1,'Puhelin tuotehinta'!$C$2:$E$49))</calculatedColumnFormula>
    </tableColumn>
    <tableColumn id="12" xr3:uid="{69493067-5784-4B9A-8FB4-509A3C4A06C1}" name="Puhelimenhinta €" dataDxfId="10" dataCellStyle="Normal">
      <calculatedColumnFormula>_xlfn.XLOOKUP(Table1[[#This Row],[Malli]],Table3[Model],Table3[Average Price (EUR)])</calculatedColumnFormula>
    </tableColumn>
    <tableColumn id="5" xr3:uid="{42649AC7-0960-482B-A962-F8F9E0D8BFEC}" name="Vakuutuksen kesto kk" dataDxfId="9" dataCellStyle="Normal"/>
    <tableColumn id="6" xr3:uid="{4E0FAFCE-801C-4800-8FA1-E5C2757288E5}" name="Korjauksen kesto tunneissa" dataDxfId="8" dataCellStyle="Normal"/>
    <tableColumn id="8" xr3:uid="{A00E32D9-FB12-43F6-958E-E4B7D440767D}" name="Alkuperäinen osa true/false" dataDxfId="7" dataCellStyle="Normal"/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9F744E-F0F8-451C-8E41-0D731D696927}" name="Table4" displayName="Table4" ref="A1:M76" totalsRowShown="0" headerRowDxfId="6" dataCellStyle="Normal">
  <autoFilter ref="A1:M76" xr:uid="{649F744E-F0F8-451C-8E41-0D731D696927}"/>
  <sortState xmlns:xlrd2="http://schemas.microsoft.com/office/spreadsheetml/2017/richdata2" ref="A2:H31">
    <sortCondition ref="F1:F31"/>
  </sortState>
  <tableColumns count="13">
    <tableColumn id="1" xr3:uid="{F34DFB1F-EABB-4FE8-B9D7-2068B674D0A0}" name="ID" dataCellStyle="Normal">
      <calculatedColumnFormula>ROW(A2) - 1</calculatedColumnFormula>
    </tableColumn>
    <tableColumn id="2" xr3:uid="{D8A0C1D4-AB20-406C-B03B-32402EAFE11B}" name="Liike" dataCellStyle="Normal"/>
    <tableColumn id="3" xr3:uid="{A387CCAD-15B6-4C4B-AF8B-4738D063FC0E}" name="Merkki" dataCellStyle="Normal"/>
    <tableColumn id="4" xr3:uid="{08346090-D82D-40EE-A3A7-084B50B82E25}" name="Malli" dataCellStyle="Normal"/>
    <tableColumn id="5" xr3:uid="{FBD1CB16-64C3-4445-A654-E57D7AD1C582}" name="Merkki ja malli" dataCellStyle="Normal">
      <calculatedColumnFormula>Table4[[#This Row],[Merkki]] &amp; " " &amp; Table4[[#This Row],[Malli]]</calculatedColumnFormula>
    </tableColumn>
    <tableColumn id="6" xr3:uid="{65028FB3-A092-4B03-A1C4-9B4ECDD84601}" name="Liike sekä merkki ja malli" dataCellStyle="Normal">
      <calculatedColumnFormula xml:space="preserve"> Table4[[#This Row],[Liike]] &amp; " " &amp; Table4[[#This Row],[Merkki ja malli]]</calculatedColumnFormula>
    </tableColumn>
    <tableColumn id="7" xr3:uid="{6CF3A7D8-2C9F-46CD-93B1-2BC5ABD5C166}" name="Tuote" dataCellStyle="Normal"/>
    <tableColumn id="8" xr3:uid="{FA9CEC04-DC15-4D3C-8797-1A66E0BE4D4B}" name=" Korjauksenhinta €" dataDxfId="5" dataCellStyle="Normal"/>
    <tableColumn id="9" xr3:uid="{2B8BD2C5-1D28-4653-8229-FB26D2B08CAC}" name="Tuotehinta €" dataDxfId="4" dataCellStyle="Normal">
      <calculatedColumnFormula array="1">_xlfn.XLOOKUP(Table4[[#This Row],[Malli]],'Älykello tuotehinta'!$A$2:$A$6,_xlfn.XLOOKUP(Table4[[#This Row],[Tuote]],'Älykello tuotehinta'!$B$1:$D$1,'Älykello tuotehinta'!$B$2:$D$6))</calculatedColumnFormula>
    </tableColumn>
    <tableColumn id="10" xr3:uid="{4868A61E-6C05-4E30-9341-FADC7783AC6E}" name="Älykellonhinta €" dataDxfId="3" dataCellStyle="Normal">
      <calculatedColumnFormula>_xlfn.XLOOKUP(Table4[[#This Row],[Malli]],'Älykellon Hinta'!$B$2:$B$6,'Älykellon Hinta'!$C$2:$C$6)</calculatedColumnFormula>
    </tableColumn>
    <tableColumn id="11" xr3:uid="{4F7FB16E-8E6F-4DEE-B60C-D12D4A576DB1}" name="Vakuutuksen kesto kk" dataCellStyle="Normal"/>
    <tableColumn id="12" xr3:uid="{C9740BCC-5546-4E3B-BD79-F12D70D186AE}" name="Korjauksen kesto tunneissa" dataCellStyle="Normal"/>
    <tableColumn id="13" xr3:uid="{8AD13F59-5E3E-4AFF-90C3-EA5C295CB0DB}" name="Alkuperäinen osa true/false" dataCellStyle="Normal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eknavi.fi/digi/uutinen-digi/nama-olivat-vuoden-2024-myydyimmat-puhelimet-suomessa-eri-iphone-malleja-samsungin-galaxy-a-sarjalaisia-ja-edullinen-oneplus-suosikki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32D9-1820-421C-9EFC-13DA66D82130}">
  <dimension ref="A1:G6"/>
  <sheetViews>
    <sheetView zoomScale="220" zoomScaleNormal="220" workbookViewId="0">
      <selection activeCell="A5" sqref="A5"/>
    </sheetView>
  </sheetViews>
  <sheetFormatPr defaultRowHeight="15"/>
  <cols>
    <col min="1" max="1" width="13.42578125" customWidth="1"/>
    <col min="2" max="5" width="25.7109375" customWidth="1"/>
    <col min="6" max="6" width="12.28515625" customWidth="1"/>
    <col min="7" max="7" width="13.28515625" customWidth="1"/>
  </cols>
  <sheetData>
    <row r="1" spans="1:7">
      <c r="A1" t="s">
        <v>0</v>
      </c>
      <c r="B1" t="s">
        <v>61</v>
      </c>
      <c r="C1" t="s">
        <v>63</v>
      </c>
      <c r="D1" t="s">
        <v>64</v>
      </c>
      <c r="E1" t="s">
        <v>80</v>
      </c>
      <c r="F1" t="s">
        <v>66</v>
      </c>
      <c r="G1" t="s">
        <v>67</v>
      </c>
    </row>
    <row r="2" spans="1:7">
      <c r="A2" t="s">
        <v>2</v>
      </c>
      <c r="B2" t="s">
        <v>62</v>
      </c>
      <c r="C2">
        <v>15140</v>
      </c>
      <c r="D2" t="s">
        <v>65</v>
      </c>
      <c r="E2" t="s">
        <v>87</v>
      </c>
      <c r="F2" t="s">
        <v>74</v>
      </c>
      <c r="G2" t="s">
        <v>75</v>
      </c>
    </row>
    <row r="3" spans="1:7">
      <c r="A3" t="s">
        <v>53</v>
      </c>
      <c r="B3" t="s">
        <v>68</v>
      </c>
      <c r="C3">
        <v>15110</v>
      </c>
      <c r="D3" t="s">
        <v>65</v>
      </c>
      <c r="E3" t="s">
        <v>86</v>
      </c>
      <c r="F3" t="s">
        <v>73</v>
      </c>
      <c r="G3" t="s">
        <v>72</v>
      </c>
    </row>
    <row r="4" spans="1:7">
      <c r="A4" t="s">
        <v>43</v>
      </c>
      <c r="B4" t="s">
        <v>69</v>
      </c>
      <c r="C4">
        <v>15500</v>
      </c>
      <c r="D4" t="s">
        <v>65</v>
      </c>
      <c r="E4" t="s">
        <v>85</v>
      </c>
      <c r="F4" t="s">
        <v>70</v>
      </c>
      <c r="G4" t="s">
        <v>71</v>
      </c>
    </row>
    <row r="5" spans="1:7">
      <c r="A5" t="s">
        <v>60</v>
      </c>
      <c r="B5" t="s">
        <v>76</v>
      </c>
      <c r="C5">
        <v>15110</v>
      </c>
      <c r="D5" t="s">
        <v>65</v>
      </c>
      <c r="E5" t="s">
        <v>84</v>
      </c>
      <c r="F5" t="s">
        <v>77</v>
      </c>
      <c r="G5" t="s">
        <v>78</v>
      </c>
    </row>
    <row r="6" spans="1:7">
      <c r="A6" t="s">
        <v>41</v>
      </c>
      <c r="B6" t="s">
        <v>79</v>
      </c>
      <c r="C6">
        <v>15700</v>
      </c>
      <c r="D6" t="s">
        <v>65</v>
      </c>
      <c r="E6" t="s">
        <v>81</v>
      </c>
      <c r="F6" t="s">
        <v>82</v>
      </c>
      <c r="G6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205B-8963-4B52-9BB9-326E5FC2AEA8}">
  <dimension ref="A1:B31"/>
  <sheetViews>
    <sheetView zoomScale="130" zoomScaleNormal="130" workbookViewId="0">
      <selection activeCell="E30" sqref="E30"/>
    </sheetView>
  </sheetViews>
  <sheetFormatPr defaultRowHeight="15"/>
  <cols>
    <col min="1" max="1" width="9.28515625" bestFit="1" customWidth="1"/>
    <col min="2" max="3" width="15.85546875" bestFit="1" customWidth="1"/>
    <col min="5" max="5" width="24" customWidth="1"/>
    <col min="6" max="6" width="20.28515625" customWidth="1"/>
    <col min="7" max="7" width="18.5703125" customWidth="1"/>
  </cols>
  <sheetData>
    <row r="1" spans="1:2">
      <c r="A1" t="s">
        <v>8</v>
      </c>
      <c r="B1" t="s">
        <v>9</v>
      </c>
    </row>
    <row r="2" spans="1:2">
      <c r="A2" t="s">
        <v>22</v>
      </c>
      <c r="B2" t="s">
        <v>24</v>
      </c>
    </row>
    <row r="3" spans="1:2">
      <c r="A3" t="s">
        <v>22</v>
      </c>
      <c r="B3" t="s">
        <v>24</v>
      </c>
    </row>
    <row r="4" spans="1:2">
      <c r="A4" t="s">
        <v>22</v>
      </c>
      <c r="B4" t="s">
        <v>24</v>
      </c>
    </row>
    <row r="5" spans="1:2">
      <c r="A5" t="s">
        <v>22</v>
      </c>
      <c r="B5" t="s">
        <v>23</v>
      </c>
    </row>
    <row r="6" spans="1:2">
      <c r="A6" t="s">
        <v>22</v>
      </c>
      <c r="B6" t="s">
        <v>23</v>
      </c>
    </row>
    <row r="7" spans="1:2">
      <c r="A7" t="s">
        <v>22</v>
      </c>
      <c r="B7" t="s">
        <v>23</v>
      </c>
    </row>
    <row r="8" spans="1:2">
      <c r="A8" t="s">
        <v>19</v>
      </c>
      <c r="B8" t="s">
        <v>20</v>
      </c>
    </row>
    <row r="9" spans="1:2">
      <c r="A9" t="s">
        <v>19</v>
      </c>
      <c r="B9" t="s">
        <v>20</v>
      </c>
    </row>
    <row r="10" spans="1:2">
      <c r="A10" t="s">
        <v>19</v>
      </c>
      <c r="B10" t="s">
        <v>20</v>
      </c>
    </row>
    <row r="11" spans="1:2">
      <c r="A11" t="s">
        <v>17</v>
      </c>
      <c r="B11" t="s">
        <v>18</v>
      </c>
    </row>
    <row r="12" spans="1:2">
      <c r="A12" t="s">
        <v>17</v>
      </c>
      <c r="B12" t="s">
        <v>18</v>
      </c>
    </row>
    <row r="13" spans="1:2">
      <c r="A13" t="s">
        <v>17</v>
      </c>
      <c r="B13" t="s">
        <v>18</v>
      </c>
    </row>
    <row r="14" spans="1:2">
      <c r="A14" t="s">
        <v>17</v>
      </c>
      <c r="B14" t="s">
        <v>12</v>
      </c>
    </row>
    <row r="15" spans="1:2">
      <c r="A15" t="s">
        <v>17</v>
      </c>
      <c r="B15" t="s">
        <v>12</v>
      </c>
    </row>
    <row r="16" spans="1:2">
      <c r="A16" t="s">
        <v>17</v>
      </c>
      <c r="B16" t="s">
        <v>12</v>
      </c>
    </row>
    <row r="17" spans="1:2">
      <c r="A17" t="s">
        <v>17</v>
      </c>
      <c r="B17" t="s">
        <v>13</v>
      </c>
    </row>
    <row r="18" spans="1:2">
      <c r="A18" t="s">
        <v>17</v>
      </c>
      <c r="B18" t="s">
        <v>13</v>
      </c>
    </row>
    <row r="19" spans="1:2">
      <c r="A19" t="s">
        <v>17</v>
      </c>
      <c r="B19" t="s">
        <v>13</v>
      </c>
    </row>
    <row r="20" spans="1:2">
      <c r="A20" t="s">
        <v>11</v>
      </c>
      <c r="B20" t="s">
        <v>10</v>
      </c>
    </row>
    <row r="21" spans="1:2">
      <c r="A21" t="s">
        <v>11</v>
      </c>
      <c r="B21" t="s">
        <v>10</v>
      </c>
    </row>
    <row r="22" spans="1:2">
      <c r="A22" t="s">
        <v>11</v>
      </c>
      <c r="B22" t="s">
        <v>10</v>
      </c>
    </row>
    <row r="23" spans="1:2">
      <c r="A23" t="s">
        <v>3</v>
      </c>
      <c r="B23" t="s">
        <v>15</v>
      </c>
    </row>
    <row r="24" spans="1:2">
      <c r="A24" t="s">
        <v>3</v>
      </c>
      <c r="B24" t="s">
        <v>15</v>
      </c>
    </row>
    <row r="25" spans="1:2">
      <c r="A25" t="s">
        <v>3</v>
      </c>
      <c r="B25" t="s">
        <v>15</v>
      </c>
    </row>
    <row r="26" spans="1:2">
      <c r="A26" t="s">
        <v>3</v>
      </c>
      <c r="B26" t="s">
        <v>16</v>
      </c>
    </row>
    <row r="27" spans="1:2">
      <c r="A27" t="s">
        <v>3</v>
      </c>
      <c r="B27" t="s">
        <v>16</v>
      </c>
    </row>
    <row r="28" spans="1:2">
      <c r="A28" t="s">
        <v>3</v>
      </c>
      <c r="B28" t="s">
        <v>16</v>
      </c>
    </row>
    <row r="29" spans="1:2">
      <c r="A29" t="s">
        <v>3</v>
      </c>
      <c r="B29" t="s">
        <v>14</v>
      </c>
    </row>
    <row r="30" spans="1:2">
      <c r="A30" t="s">
        <v>3</v>
      </c>
      <c r="B30" t="s">
        <v>14</v>
      </c>
    </row>
    <row r="31" spans="1:2">
      <c r="A31" t="s">
        <v>3</v>
      </c>
      <c r="B3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466-D25D-47A9-A1CF-CBAEF83D43E3}">
  <dimension ref="A1:E11"/>
  <sheetViews>
    <sheetView zoomScale="130" zoomScaleNormal="130" workbookViewId="0">
      <selection activeCell="B23" sqref="B23"/>
    </sheetView>
  </sheetViews>
  <sheetFormatPr defaultRowHeight="15"/>
  <cols>
    <col min="1" max="1" width="25.7109375" customWidth="1"/>
    <col min="2" max="2" width="47.140625" customWidth="1"/>
    <col min="3" max="3" width="48.85546875" customWidth="1"/>
    <col min="4" max="4" width="42" customWidth="1"/>
    <col min="5" max="5" width="43.28515625" customWidth="1"/>
    <col min="6" max="6" width="15.5703125" customWidth="1"/>
  </cols>
  <sheetData>
    <row r="1" spans="1:5" ht="15.75" thickBot="1">
      <c r="A1" s="7" t="s">
        <v>27</v>
      </c>
      <c r="B1" s="7" t="s">
        <v>28</v>
      </c>
      <c r="C1" s="7" t="s">
        <v>26</v>
      </c>
      <c r="D1" s="7" t="s">
        <v>4</v>
      </c>
      <c r="E1" s="8" t="s">
        <v>21</v>
      </c>
    </row>
    <row r="2" spans="1:5" ht="15.75" thickBot="1">
      <c r="A2" s="9" t="s">
        <v>22</v>
      </c>
      <c r="B2" s="9" t="s">
        <v>24</v>
      </c>
      <c r="C2" s="10">
        <v>330</v>
      </c>
      <c r="D2" s="10">
        <v>27</v>
      </c>
      <c r="E2" s="11">
        <v>38</v>
      </c>
    </row>
    <row r="3" spans="1:5" ht="15.75" thickBot="1">
      <c r="A3" s="2" t="s">
        <v>22</v>
      </c>
      <c r="B3" s="2" t="s">
        <v>23</v>
      </c>
      <c r="C3" s="6">
        <v>181</v>
      </c>
      <c r="D3" s="6">
        <v>27</v>
      </c>
      <c r="E3" s="5">
        <v>21</v>
      </c>
    </row>
    <row r="4" spans="1:5" ht="15.75" thickBot="1">
      <c r="A4" s="9" t="s">
        <v>19</v>
      </c>
      <c r="B4" s="9" t="s">
        <v>20</v>
      </c>
      <c r="C4" s="10">
        <v>40</v>
      </c>
      <c r="D4" s="10">
        <v>19</v>
      </c>
      <c r="E4" s="11">
        <v>23</v>
      </c>
    </row>
    <row r="5" spans="1:5" ht="15.75" thickBot="1">
      <c r="A5" s="2" t="s">
        <v>17</v>
      </c>
      <c r="B5" s="2" t="s">
        <v>18</v>
      </c>
      <c r="C5" s="6">
        <v>88</v>
      </c>
      <c r="D5" s="6">
        <v>12</v>
      </c>
      <c r="E5" s="5">
        <v>15</v>
      </c>
    </row>
    <row r="6" spans="1:5" ht="15.75" thickBot="1">
      <c r="A6" s="9" t="s">
        <v>17</v>
      </c>
      <c r="B6" s="9" t="s">
        <v>12</v>
      </c>
      <c r="C6" s="10">
        <v>40</v>
      </c>
      <c r="D6" s="10">
        <v>10</v>
      </c>
      <c r="E6" s="11">
        <v>15</v>
      </c>
    </row>
    <row r="7" spans="1:5" ht="15.75" thickBot="1">
      <c r="A7" s="2" t="s">
        <v>17</v>
      </c>
      <c r="B7" s="2" t="s">
        <v>13</v>
      </c>
      <c r="C7" s="6">
        <v>176</v>
      </c>
      <c r="D7" s="6">
        <v>14</v>
      </c>
      <c r="E7" s="5">
        <v>15</v>
      </c>
    </row>
    <row r="8" spans="1:5" ht="15.75" thickBot="1">
      <c r="A8" s="9" t="s">
        <v>11</v>
      </c>
      <c r="B8" s="9" t="s">
        <v>10</v>
      </c>
      <c r="C8" s="10">
        <v>16</v>
      </c>
      <c r="D8" s="10">
        <v>17</v>
      </c>
      <c r="E8" s="11">
        <v>17</v>
      </c>
    </row>
    <row r="9" spans="1:5" ht="15.75" thickBot="1">
      <c r="A9" s="2" t="s">
        <v>3</v>
      </c>
      <c r="B9" s="2" t="s">
        <v>15</v>
      </c>
      <c r="C9" s="6">
        <v>66</v>
      </c>
      <c r="D9" s="6">
        <v>25</v>
      </c>
      <c r="E9" s="5">
        <v>28</v>
      </c>
    </row>
    <row r="10" spans="1:5" ht="15.75" thickBot="1">
      <c r="A10" s="9" t="s">
        <v>3</v>
      </c>
      <c r="B10" s="9" t="s">
        <v>16</v>
      </c>
      <c r="C10" s="10">
        <v>49</v>
      </c>
      <c r="D10" s="10">
        <v>10</v>
      </c>
      <c r="E10" s="11">
        <v>18</v>
      </c>
    </row>
    <row r="11" spans="1:5" ht="15.75" thickBot="1">
      <c r="A11" s="1" t="s">
        <v>3</v>
      </c>
      <c r="B11" s="1" t="s">
        <v>14</v>
      </c>
      <c r="C11" s="4">
        <v>27</v>
      </c>
      <c r="D11" s="4">
        <v>18</v>
      </c>
      <c r="E11" s="3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7C83-C8FB-4EDE-8AA0-B487C5921729}">
  <dimension ref="A1:C11"/>
  <sheetViews>
    <sheetView workbookViewId="0">
      <selection activeCell="E17" sqref="E17"/>
    </sheetView>
  </sheetViews>
  <sheetFormatPr defaultRowHeight="15"/>
  <cols>
    <col min="1" max="1" width="25.7109375" customWidth="1"/>
    <col min="2" max="2" width="32.140625" customWidth="1"/>
    <col min="3" max="3" width="25.7109375" customWidth="1"/>
  </cols>
  <sheetData>
    <row r="1" spans="1:3" ht="15.75" thickBot="1">
      <c r="A1" s="19" t="s">
        <v>27</v>
      </c>
      <c r="B1" s="20" t="s">
        <v>28</v>
      </c>
      <c r="C1" s="21" t="s">
        <v>44</v>
      </c>
    </row>
    <row r="2" spans="1:3" ht="15.75" thickBot="1">
      <c r="A2" s="18" t="s">
        <v>22</v>
      </c>
      <c r="B2" s="17" t="s">
        <v>24</v>
      </c>
      <c r="C2" s="1">
        <v>1179</v>
      </c>
    </row>
    <row r="3" spans="1:3" ht="15.75" thickBot="1">
      <c r="A3" s="18" t="s">
        <v>22</v>
      </c>
      <c r="B3" s="17" t="s">
        <v>23</v>
      </c>
      <c r="C3" s="1">
        <v>479</v>
      </c>
    </row>
    <row r="4" spans="1:3" ht="15.75" thickBot="1">
      <c r="A4" s="18" t="s">
        <v>19</v>
      </c>
      <c r="B4" s="17" t="s">
        <v>20</v>
      </c>
      <c r="C4" s="1">
        <v>117</v>
      </c>
    </row>
    <row r="5" spans="1:3" ht="15.75" thickBot="1">
      <c r="A5" s="18" t="s">
        <v>17</v>
      </c>
      <c r="B5" s="17" t="s">
        <v>18</v>
      </c>
      <c r="C5" s="1">
        <v>179</v>
      </c>
    </row>
    <row r="6" spans="1:3" ht="15.75" thickBot="1">
      <c r="A6" s="18" t="s">
        <v>17</v>
      </c>
      <c r="B6" s="17" t="s">
        <v>12</v>
      </c>
      <c r="C6" s="1">
        <v>249</v>
      </c>
    </row>
    <row r="7" spans="1:3" ht="15.75" thickBot="1">
      <c r="A7" s="18" t="s">
        <v>17</v>
      </c>
      <c r="B7" s="17" t="s">
        <v>13</v>
      </c>
      <c r="C7" s="1">
        <v>649</v>
      </c>
    </row>
    <row r="8" spans="1:3" ht="15.75" thickBot="1">
      <c r="A8" s="18" t="s">
        <v>11</v>
      </c>
      <c r="B8" s="17" t="s">
        <v>10</v>
      </c>
      <c r="C8" s="1">
        <v>79</v>
      </c>
    </row>
    <row r="9" spans="1:3" ht="15.75" thickBot="1">
      <c r="A9" s="18" t="s">
        <v>3</v>
      </c>
      <c r="B9" s="17" t="s">
        <v>15</v>
      </c>
      <c r="C9" s="1">
        <v>299</v>
      </c>
    </row>
    <row r="10" spans="1:3" ht="15.75" thickBot="1">
      <c r="A10" s="18" t="s">
        <v>3</v>
      </c>
      <c r="B10" s="17" t="s">
        <v>16</v>
      </c>
      <c r="C10" s="1">
        <v>169</v>
      </c>
    </row>
    <row r="11" spans="1:3">
      <c r="A11" s="22" t="s">
        <v>3</v>
      </c>
      <c r="B11" s="23" t="s">
        <v>14</v>
      </c>
      <c r="C11" s="2">
        <v>129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234D-9A75-4769-BEBD-642E4B73E834}">
  <dimension ref="A1:G16"/>
  <sheetViews>
    <sheetView zoomScale="145" zoomScaleNormal="145" workbookViewId="0">
      <selection activeCell="C28" sqref="C28"/>
    </sheetView>
  </sheetViews>
  <sheetFormatPr defaultRowHeight="15"/>
  <cols>
    <col min="1" max="1" width="9.28515625" bestFit="1" customWidth="1"/>
    <col min="2" max="2" width="34" bestFit="1" customWidth="1"/>
    <col min="6" max="6" width="39" customWidth="1"/>
  </cols>
  <sheetData>
    <row r="1" spans="1:7">
      <c r="A1" t="s">
        <v>8</v>
      </c>
      <c r="B1" t="s">
        <v>9</v>
      </c>
    </row>
    <row r="2" spans="1:7">
      <c r="A2" t="s">
        <v>47</v>
      </c>
      <c r="B2" t="s">
        <v>48</v>
      </c>
    </row>
    <row r="3" spans="1:7">
      <c r="A3" t="s">
        <v>47</v>
      </c>
      <c r="B3" t="s">
        <v>48</v>
      </c>
    </row>
    <row r="4" spans="1:7">
      <c r="A4" t="s">
        <v>47</v>
      </c>
      <c r="B4" t="s">
        <v>48</v>
      </c>
    </row>
    <row r="5" spans="1:7">
      <c r="A5" t="s">
        <v>22</v>
      </c>
      <c r="B5" t="s">
        <v>49</v>
      </c>
    </row>
    <row r="6" spans="1:7">
      <c r="A6" t="s">
        <v>22</v>
      </c>
      <c r="B6" t="s">
        <v>49</v>
      </c>
      <c r="G6" t="s">
        <v>5</v>
      </c>
    </row>
    <row r="7" spans="1:7">
      <c r="A7" t="s">
        <v>22</v>
      </c>
      <c r="B7" t="s">
        <v>49</v>
      </c>
    </row>
    <row r="8" spans="1:7">
      <c r="A8" t="s">
        <v>22</v>
      </c>
      <c r="B8" t="s">
        <v>51</v>
      </c>
      <c r="G8" s="24"/>
    </row>
    <row r="9" spans="1:7">
      <c r="A9" t="s">
        <v>22</v>
      </c>
      <c r="B9" t="s">
        <v>51</v>
      </c>
    </row>
    <row r="10" spans="1:7">
      <c r="A10" t="s">
        <v>22</v>
      </c>
      <c r="B10" t="s">
        <v>51</v>
      </c>
    </row>
    <row r="11" spans="1:7">
      <c r="A11" t="s">
        <v>17</v>
      </c>
      <c r="B11" t="s">
        <v>50</v>
      </c>
    </row>
    <row r="12" spans="1:7">
      <c r="A12" t="s">
        <v>17</v>
      </c>
      <c r="B12" t="s">
        <v>50</v>
      </c>
    </row>
    <row r="13" spans="1:7">
      <c r="A13" t="s">
        <v>17</v>
      </c>
      <c r="B13" t="s">
        <v>50</v>
      </c>
    </row>
    <row r="14" spans="1:7">
      <c r="A14" t="s">
        <v>54</v>
      </c>
      <c r="B14" t="s">
        <v>55</v>
      </c>
    </row>
    <row r="15" spans="1:7">
      <c r="A15" t="s">
        <v>54</v>
      </c>
      <c r="B15" t="s">
        <v>55</v>
      </c>
    </row>
    <row r="16" spans="1:7">
      <c r="A16" t="s">
        <v>54</v>
      </c>
      <c r="B16" t="s">
        <v>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E29F-D7B2-438D-B25B-E1FB68D11E24}">
  <dimension ref="A1:D6"/>
  <sheetViews>
    <sheetView zoomScale="160" zoomScaleNormal="160" workbookViewId="0">
      <selection activeCell="D18" sqref="D18"/>
    </sheetView>
  </sheetViews>
  <sheetFormatPr defaultRowHeight="15"/>
  <cols>
    <col min="1" max="4" width="25.7109375" customWidth="1"/>
  </cols>
  <sheetData>
    <row r="1" spans="1:4" ht="15.75" thickBot="1">
      <c r="A1" s="17" t="s">
        <v>28</v>
      </c>
      <c r="B1" s="17" t="s">
        <v>26</v>
      </c>
      <c r="C1" s="17" t="s">
        <v>4</v>
      </c>
      <c r="D1" s="17" t="s">
        <v>52</v>
      </c>
    </row>
    <row r="2" spans="1:4" ht="27" thickBot="1">
      <c r="A2" s="17" t="s">
        <v>48</v>
      </c>
      <c r="B2" s="17">
        <v>40</v>
      </c>
      <c r="C2" s="26">
        <v>24</v>
      </c>
      <c r="D2" s="17">
        <v>11</v>
      </c>
    </row>
    <row r="3" spans="1:4" ht="27" thickBot="1">
      <c r="A3" s="17" t="s">
        <v>49</v>
      </c>
      <c r="B3" s="26">
        <v>230</v>
      </c>
      <c r="C3" s="26">
        <v>85</v>
      </c>
      <c r="D3" s="26">
        <v>65</v>
      </c>
    </row>
    <row r="4" spans="1:4" ht="15.75" thickBot="1">
      <c r="A4" s="17" t="s">
        <v>51</v>
      </c>
      <c r="B4" s="26">
        <v>100</v>
      </c>
      <c r="C4" s="26">
        <v>73</v>
      </c>
      <c r="D4" s="17">
        <v>25</v>
      </c>
    </row>
    <row r="5" spans="1:4" ht="15.75" thickBot="1">
      <c r="A5" s="17" t="s">
        <v>50</v>
      </c>
      <c r="B5" s="26">
        <v>64</v>
      </c>
      <c r="C5" s="26">
        <v>18</v>
      </c>
      <c r="D5" s="17">
        <v>13</v>
      </c>
    </row>
    <row r="6" spans="1:4" ht="15.75" thickBot="1">
      <c r="A6" s="17" t="s">
        <v>55</v>
      </c>
      <c r="B6" s="26">
        <v>52</v>
      </c>
      <c r="C6" s="17">
        <v>8</v>
      </c>
      <c r="D6" s="17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42C2-4E83-4AC0-9283-B47DC4B91334}">
  <dimension ref="A1:C6"/>
  <sheetViews>
    <sheetView zoomScale="205" zoomScaleNormal="205" workbookViewId="0">
      <selection activeCell="C20" sqref="C20"/>
    </sheetView>
  </sheetViews>
  <sheetFormatPr defaultRowHeight="15"/>
  <cols>
    <col min="1" max="3" width="25.7109375" customWidth="1"/>
  </cols>
  <sheetData>
    <row r="1" spans="1:3" ht="15.75" thickBot="1">
      <c r="A1" s="17" t="s">
        <v>8</v>
      </c>
      <c r="B1" s="17" t="s">
        <v>9</v>
      </c>
      <c r="C1" s="27" t="s">
        <v>59</v>
      </c>
    </row>
    <row r="2" spans="1:3" ht="27" thickBot="1">
      <c r="A2" s="17" t="s">
        <v>47</v>
      </c>
      <c r="B2" s="17" t="s">
        <v>48</v>
      </c>
      <c r="C2" s="26">
        <v>134</v>
      </c>
    </row>
    <row r="3" spans="1:3" ht="27" thickBot="1">
      <c r="A3" s="17" t="s">
        <v>22</v>
      </c>
      <c r="B3" s="17" t="s">
        <v>49</v>
      </c>
      <c r="C3" s="26">
        <v>575</v>
      </c>
    </row>
    <row r="4" spans="1:3" ht="15.75" thickBot="1">
      <c r="A4" s="17" t="s">
        <v>22</v>
      </c>
      <c r="B4" s="17" t="s">
        <v>51</v>
      </c>
      <c r="C4" s="26">
        <v>275</v>
      </c>
    </row>
    <row r="5" spans="1:3" ht="15.75" thickBot="1">
      <c r="A5" s="17" t="s">
        <v>58</v>
      </c>
      <c r="B5" s="17" t="s">
        <v>50</v>
      </c>
      <c r="C5" s="26">
        <v>254</v>
      </c>
    </row>
    <row r="6" spans="1:3" ht="15.75" thickBot="1">
      <c r="A6" s="17" t="s">
        <v>54</v>
      </c>
      <c r="B6" s="17" t="s">
        <v>55</v>
      </c>
      <c r="C6" s="26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1F14-825C-4F5C-9E83-39FDB2CBF2F0}">
  <dimension ref="A1:U151"/>
  <sheetViews>
    <sheetView topLeftCell="B60" zoomScale="85" zoomScaleNormal="85" workbookViewId="0">
      <selection activeCell="B2" sqref="B2:B151"/>
    </sheetView>
  </sheetViews>
  <sheetFormatPr defaultRowHeight="15"/>
  <cols>
    <col min="1" max="5" width="25.7109375" customWidth="1"/>
    <col min="6" max="6" width="48" customWidth="1"/>
    <col min="7" max="7" width="25.7109375" style="16" customWidth="1"/>
    <col min="8" max="8" width="25.7109375" style="32" customWidth="1"/>
    <col min="9" max="10" width="34.140625" style="31" customWidth="1"/>
    <col min="11" max="12" width="25.7109375" style="31" customWidth="1"/>
    <col min="13" max="13" width="36.5703125" style="31" customWidth="1"/>
    <col min="14" max="14" width="31.5703125" customWidth="1"/>
    <col min="16" max="16" width="64.5703125" customWidth="1"/>
    <col min="17" max="17" width="52.140625" customWidth="1"/>
    <col min="23" max="23" width="21.140625" customWidth="1"/>
    <col min="24" max="24" width="28" customWidth="1"/>
  </cols>
  <sheetData>
    <row r="1" spans="1:21" ht="21">
      <c r="A1" s="12" t="s">
        <v>39</v>
      </c>
      <c r="B1" s="12" t="s">
        <v>0</v>
      </c>
      <c r="C1" s="12" t="s">
        <v>8</v>
      </c>
      <c r="D1" s="12" t="s">
        <v>9</v>
      </c>
      <c r="E1" s="12" t="s">
        <v>40</v>
      </c>
      <c r="F1" s="12" t="s">
        <v>46</v>
      </c>
      <c r="G1" s="36" t="s">
        <v>1</v>
      </c>
      <c r="H1" s="13" t="s">
        <v>31</v>
      </c>
      <c r="I1" s="13" t="s">
        <v>29</v>
      </c>
      <c r="J1" s="13" t="s">
        <v>45</v>
      </c>
      <c r="K1" s="30" t="s">
        <v>6</v>
      </c>
      <c r="L1" s="30" t="s">
        <v>30</v>
      </c>
      <c r="M1" s="30" t="s">
        <v>7</v>
      </c>
      <c r="P1" s="14" t="s">
        <v>25</v>
      </c>
    </row>
    <row r="2" spans="1:21" ht="21">
      <c r="A2" s="34">
        <f t="shared" ref="A2:A33" si="0">ROW(A2) - 1</f>
        <v>1</v>
      </c>
      <c r="B2" s="34" t="s">
        <v>2</v>
      </c>
      <c r="C2" s="34" t="s">
        <v>22</v>
      </c>
      <c r="D2" s="34" t="s">
        <v>23</v>
      </c>
      <c r="E2" s="34" t="str">
        <f>Table1[[#This Row],[Merkki]] &amp; " " &amp; Table1[[#This Row],[Malli]]</f>
        <v>Apple iPhone 13 5G</v>
      </c>
      <c r="F2" s="34" t="str">
        <f>Table1[[#This Row],[Liike]] &amp; " " &amp; Table1[[#This Row],[Merkki ja malli]]</f>
        <v>Fonum Apple iPhone 13 5G</v>
      </c>
      <c r="G2" s="16" t="s">
        <v>26</v>
      </c>
      <c r="H2" s="35">
        <v>299</v>
      </c>
      <c r="I2" s="35" cm="1">
        <f t="array" ref="I2">_xlfn.XLOOKUP(Table1[[#This Row],[Malli]],'Puhelin tuotehinta'!$B$2:$B$49,_xlfn.XLOOKUP(Table1[[#This Row],[Tuote]],'Puhelin tuotehinta'!$C$1:$E$1,'Puhelin tuotehinta'!$C$2:$E$49))</f>
        <v>181</v>
      </c>
      <c r="J2" s="35">
        <f>_xlfn.XLOOKUP(Table1[[#This Row],[Malli]],Table3[Model],Table3[Average Price (EUR)])</f>
        <v>479</v>
      </c>
      <c r="K2" s="32">
        <v>24</v>
      </c>
      <c r="L2" s="32">
        <v>1</v>
      </c>
      <c r="M2" s="32" t="b">
        <v>0</v>
      </c>
      <c r="P2" s="15"/>
    </row>
    <row r="3" spans="1:21" ht="21">
      <c r="A3" s="34">
        <f t="shared" si="0"/>
        <v>2</v>
      </c>
      <c r="B3" s="34" t="s">
        <v>2</v>
      </c>
      <c r="C3" s="34" t="s">
        <v>22</v>
      </c>
      <c r="D3" s="34" t="s">
        <v>23</v>
      </c>
      <c r="E3" s="34" t="str">
        <f>Table1[[#This Row],[Merkki]] &amp; " " &amp; Table1[[#This Row],[Malli]]</f>
        <v>Apple iPhone 13 5G</v>
      </c>
      <c r="F3" s="34" t="str">
        <f>Table1[[#This Row],[Liike]] &amp; " " &amp; Table1[[#This Row],[Merkki ja malli]]</f>
        <v>Fonum Apple iPhone 13 5G</v>
      </c>
      <c r="G3" s="16" t="s">
        <v>4</v>
      </c>
      <c r="H3" s="35">
        <v>79</v>
      </c>
      <c r="I3" s="35" cm="1">
        <f t="array" ref="I3">_xlfn.XLOOKUP(Table1[[#This Row],[Malli]],'Puhelin tuotehinta'!$B$2:$B$49,_xlfn.XLOOKUP(Table1[[#This Row],[Tuote]],'Puhelin tuotehinta'!$C$1:$E$1,'Puhelin tuotehinta'!$C$2:$E$49))</f>
        <v>27</v>
      </c>
      <c r="J3" s="35">
        <f>_xlfn.XLOOKUP(Table1[[#This Row],[Malli]],Table3[Model],Table3[Average Price (EUR)])</f>
        <v>479</v>
      </c>
      <c r="K3" s="32">
        <v>12</v>
      </c>
      <c r="L3" s="32">
        <v>1</v>
      </c>
      <c r="M3" s="32" t="b">
        <v>0</v>
      </c>
      <c r="P3" s="15" t="s">
        <v>42</v>
      </c>
    </row>
    <row r="4" spans="1:21" ht="21">
      <c r="A4" s="34">
        <f t="shared" si="0"/>
        <v>3</v>
      </c>
      <c r="B4" s="34" t="s">
        <v>2</v>
      </c>
      <c r="C4" s="34" t="s">
        <v>22</v>
      </c>
      <c r="D4" s="34" t="s">
        <v>23</v>
      </c>
      <c r="E4" s="34" t="str">
        <f>Table1[[#This Row],[Merkki]] &amp; " " &amp; Table1[[#This Row],[Malli]]</f>
        <v>Apple iPhone 13 5G</v>
      </c>
      <c r="F4" s="34" t="str">
        <f>Table1[[#This Row],[Liike]] &amp; " " &amp; Table1[[#This Row],[Merkki ja malli]]</f>
        <v>Fonum Apple iPhone 13 5G</v>
      </c>
      <c r="G4" s="16" t="s">
        <v>21</v>
      </c>
      <c r="H4" s="35"/>
      <c r="I4" s="35" cm="1">
        <f t="array" ref="I4">_xlfn.XLOOKUP(Table1[[#This Row],[Malli]],'Puhelin tuotehinta'!$B$2:$B$49,_xlfn.XLOOKUP(Table1[[#This Row],[Tuote]],'Puhelin tuotehinta'!$C$1:$E$1,'Puhelin tuotehinta'!$C$2:$E$49))</f>
        <v>21</v>
      </c>
      <c r="J4" s="35">
        <f>_xlfn.XLOOKUP(Table1[[#This Row],[Malli]],Table3[Model],Table3[Average Price (EUR)])</f>
        <v>479</v>
      </c>
      <c r="K4" s="32">
        <v>24</v>
      </c>
      <c r="L4" s="32">
        <v>3</v>
      </c>
      <c r="M4" s="32" t="b">
        <v>0</v>
      </c>
      <c r="P4" s="15"/>
    </row>
    <row r="5" spans="1:21" ht="21">
      <c r="A5" s="34">
        <f t="shared" si="0"/>
        <v>4</v>
      </c>
      <c r="B5" s="34" t="s">
        <v>2</v>
      </c>
      <c r="C5" s="34" t="s">
        <v>22</v>
      </c>
      <c r="D5" s="34" t="s">
        <v>24</v>
      </c>
      <c r="E5" s="34" t="str">
        <f>Table1[[#This Row],[Merkki]] &amp; " " &amp; Table1[[#This Row],[Malli]]</f>
        <v>Apple iPhone 15 Pro 5G</v>
      </c>
      <c r="F5" s="34" t="str">
        <f>Table1[[#This Row],[Liike]] &amp; " " &amp; Table1[[#This Row],[Merkki ja malli]]</f>
        <v>Fonum Apple iPhone 15 Pro 5G</v>
      </c>
      <c r="G5" s="16" t="s">
        <v>26</v>
      </c>
      <c r="H5" s="35">
        <v>489</v>
      </c>
      <c r="I5" s="35" cm="1">
        <f t="array" ref="I5">_xlfn.XLOOKUP(Table1[[#This Row],[Malli]],'Puhelin tuotehinta'!$B$2:$B$49,_xlfn.XLOOKUP(Table1[[#This Row],[Tuote]],'Puhelin tuotehinta'!$C$1:$E$1,'Puhelin tuotehinta'!$C$2:$E$49))</f>
        <v>330</v>
      </c>
      <c r="J5" s="35">
        <f>_xlfn.XLOOKUP(Table1[[#This Row],[Malli]],Table3[Model],Table3[Average Price (EUR)])</f>
        <v>1179</v>
      </c>
      <c r="K5" s="32">
        <v>24</v>
      </c>
      <c r="L5" s="32">
        <v>1</v>
      </c>
      <c r="M5" s="32" t="b">
        <v>0</v>
      </c>
      <c r="P5" s="15"/>
    </row>
    <row r="6" spans="1:21">
      <c r="A6" s="34">
        <f t="shared" si="0"/>
        <v>5</v>
      </c>
      <c r="B6" s="34" t="s">
        <v>2</v>
      </c>
      <c r="C6" s="34" t="s">
        <v>22</v>
      </c>
      <c r="D6" s="34" t="s">
        <v>24</v>
      </c>
      <c r="E6" s="34" t="str">
        <f>Table1[[#This Row],[Merkki]] &amp; " " &amp; Table1[[#This Row],[Malli]]</f>
        <v>Apple iPhone 15 Pro 5G</v>
      </c>
      <c r="F6" s="34" t="str">
        <f>Table1[[#This Row],[Liike]] &amp; " " &amp; Table1[[#This Row],[Merkki ja malli]]</f>
        <v>Fonum Apple iPhone 15 Pro 5G</v>
      </c>
      <c r="G6" s="16" t="s">
        <v>4</v>
      </c>
      <c r="H6" s="35">
        <v>79</v>
      </c>
      <c r="I6" s="35" cm="1">
        <f t="array" ref="I6">_xlfn.XLOOKUP(Table1[[#This Row],[Malli]],'Puhelin tuotehinta'!$B$2:$B$49,_xlfn.XLOOKUP(Table1[[#This Row],[Tuote]],'Puhelin tuotehinta'!$C$1:$E$1,'Puhelin tuotehinta'!$C$2:$E$49))</f>
        <v>27</v>
      </c>
      <c r="J6" s="35">
        <f>_xlfn.XLOOKUP(Table1[[#This Row],[Malli]],Table3[Model],Table3[Average Price (EUR)])</f>
        <v>1179</v>
      </c>
      <c r="K6" s="32">
        <v>12</v>
      </c>
      <c r="L6" s="32">
        <v>1</v>
      </c>
      <c r="M6" s="32" t="b">
        <v>0</v>
      </c>
    </row>
    <row r="7" spans="1:21">
      <c r="A7" s="34">
        <f t="shared" si="0"/>
        <v>6</v>
      </c>
      <c r="B7" s="34" t="s">
        <v>2</v>
      </c>
      <c r="C7" s="34" t="s">
        <v>22</v>
      </c>
      <c r="D7" s="34" t="s">
        <v>24</v>
      </c>
      <c r="E7" s="34" t="str">
        <f>Table1[[#This Row],[Merkki]] &amp; " " &amp; Table1[[#This Row],[Malli]]</f>
        <v>Apple iPhone 15 Pro 5G</v>
      </c>
      <c r="F7" s="34" t="str">
        <f>Table1[[#This Row],[Liike]] &amp; " " &amp; Table1[[#This Row],[Merkki ja malli]]</f>
        <v>Fonum Apple iPhone 15 Pro 5G</v>
      </c>
      <c r="G7" s="16" t="s">
        <v>21</v>
      </c>
      <c r="H7" s="35"/>
      <c r="I7" s="35" cm="1">
        <f t="array" ref="I7">_xlfn.XLOOKUP(Table1[[#This Row],[Malli]],'Puhelin tuotehinta'!$B$2:$B$49,_xlfn.XLOOKUP(Table1[[#This Row],[Tuote]],'Puhelin tuotehinta'!$C$1:$E$1,'Puhelin tuotehinta'!$C$2:$E$49))</f>
        <v>38</v>
      </c>
      <c r="J7" s="35">
        <f>_xlfn.XLOOKUP(Table1[[#This Row],[Malli]],Table3[Model],Table3[Average Price (EUR)])</f>
        <v>1179</v>
      </c>
      <c r="K7" s="32">
        <v>24</v>
      </c>
      <c r="L7" s="32">
        <v>3</v>
      </c>
      <c r="M7" s="32" t="b">
        <v>0</v>
      </c>
    </row>
    <row r="8" spans="1:21">
      <c r="A8" s="34">
        <f t="shared" si="0"/>
        <v>7</v>
      </c>
      <c r="B8" s="34" t="s">
        <v>2</v>
      </c>
      <c r="C8" s="34" t="s">
        <v>19</v>
      </c>
      <c r="D8" s="34" t="s">
        <v>20</v>
      </c>
      <c r="E8" s="34" t="str">
        <f>Table1[[#This Row],[Merkki]] &amp; " " &amp; Table1[[#This Row],[Malli]]</f>
        <v>Honor X6a</v>
      </c>
      <c r="F8" s="34" t="str">
        <f>Table1[[#This Row],[Liike]] &amp; " " &amp; Table1[[#This Row],[Merkki ja malli]]</f>
        <v>Fonum Honor X6a</v>
      </c>
      <c r="G8" s="16" t="s">
        <v>26</v>
      </c>
      <c r="H8" s="35">
        <v>79</v>
      </c>
      <c r="I8" s="35" cm="1">
        <f t="array" ref="I8">_xlfn.XLOOKUP(Table1[[#This Row],[Malli]],'Puhelin tuotehinta'!$B$2:$B$49,_xlfn.XLOOKUP(Table1[[#This Row],[Tuote]],'Puhelin tuotehinta'!$C$1:$E$1,'Puhelin tuotehinta'!$C$2:$E$49))</f>
        <v>40</v>
      </c>
      <c r="J8" s="35">
        <f>_xlfn.XLOOKUP(Table1[[#This Row],[Malli]],Table3[Model],Table3[Average Price (EUR)])</f>
        <v>117</v>
      </c>
      <c r="K8" s="32">
        <v>24</v>
      </c>
      <c r="L8" s="32">
        <v>1</v>
      </c>
      <c r="M8" s="32" t="b">
        <v>0</v>
      </c>
    </row>
    <row r="9" spans="1:21">
      <c r="A9" s="34">
        <f t="shared" si="0"/>
        <v>8</v>
      </c>
      <c r="B9" s="34" t="s">
        <v>2</v>
      </c>
      <c r="C9" s="34" t="s">
        <v>19</v>
      </c>
      <c r="D9" s="34" t="s">
        <v>20</v>
      </c>
      <c r="E9" s="34" t="str">
        <f>Table1[[#This Row],[Merkki]] &amp; " " &amp; Table1[[#This Row],[Malli]]</f>
        <v>Honor X6a</v>
      </c>
      <c r="F9" s="34" t="str">
        <f>Table1[[#This Row],[Liike]] &amp; " " &amp; Table1[[#This Row],[Merkki ja malli]]</f>
        <v>Fonum Honor X6a</v>
      </c>
      <c r="G9" s="16" t="s">
        <v>4</v>
      </c>
      <c r="H9" s="35"/>
      <c r="I9" s="35" cm="1">
        <f t="array" ref="I9">_xlfn.XLOOKUP(Table1[[#This Row],[Malli]],'Puhelin tuotehinta'!$B$2:$B$49,_xlfn.XLOOKUP(Table1[[#This Row],[Tuote]],'Puhelin tuotehinta'!$C$1:$E$1,'Puhelin tuotehinta'!$C$2:$E$49))</f>
        <v>19</v>
      </c>
      <c r="J9" s="35">
        <f>_xlfn.XLOOKUP(Table1[[#This Row],[Malli]],Table3[Model],Table3[Average Price (EUR)])</f>
        <v>117</v>
      </c>
      <c r="K9" s="32">
        <v>12</v>
      </c>
      <c r="L9" s="32">
        <v>1</v>
      </c>
      <c r="M9" s="32" t="b">
        <v>0</v>
      </c>
    </row>
    <row r="10" spans="1:21">
      <c r="A10" s="34">
        <f t="shared" si="0"/>
        <v>9</v>
      </c>
      <c r="B10" s="34" t="s">
        <v>2</v>
      </c>
      <c r="C10" s="34" t="s">
        <v>19</v>
      </c>
      <c r="D10" s="34" t="s">
        <v>20</v>
      </c>
      <c r="E10" s="34" t="str">
        <f>Table1[[#This Row],[Merkki]] &amp; " " &amp; Table1[[#This Row],[Malli]]</f>
        <v>Honor X6a</v>
      </c>
      <c r="F10" s="34" t="str">
        <f>Table1[[#This Row],[Liike]] &amp; " " &amp; Table1[[#This Row],[Merkki ja malli]]</f>
        <v>Fonum Honor X6a</v>
      </c>
      <c r="G10" s="16" t="s">
        <v>21</v>
      </c>
      <c r="H10" s="35"/>
      <c r="I10" s="35" cm="1">
        <f t="array" ref="I10">_xlfn.XLOOKUP(Table1[[#This Row],[Malli]],'Puhelin tuotehinta'!$B$2:$B$49,_xlfn.XLOOKUP(Table1[[#This Row],[Tuote]],'Puhelin tuotehinta'!$C$1:$E$1,'Puhelin tuotehinta'!$C$2:$E$49))</f>
        <v>23</v>
      </c>
      <c r="J10" s="35">
        <f>_xlfn.XLOOKUP(Table1[[#This Row],[Malli]],Table3[Model],Table3[Average Price (EUR)])</f>
        <v>117</v>
      </c>
      <c r="K10" s="32">
        <v>24</v>
      </c>
      <c r="L10" s="32">
        <v>3</v>
      </c>
      <c r="M10" s="32" t="b">
        <v>0</v>
      </c>
    </row>
    <row r="11" spans="1:21">
      <c r="A11" s="34">
        <f t="shared" si="0"/>
        <v>10</v>
      </c>
      <c r="B11" s="34" t="s">
        <v>2</v>
      </c>
      <c r="C11" s="34" t="s">
        <v>17</v>
      </c>
      <c r="D11" s="34" t="s">
        <v>13</v>
      </c>
      <c r="E11" s="34" t="str">
        <f>Table1[[#This Row],[Merkki]] &amp; " " &amp; Table1[[#This Row],[Malli]]</f>
        <v>OnePlus 12 5G</v>
      </c>
      <c r="F11" s="34" t="str">
        <f>Table1[[#This Row],[Liike]] &amp; " " &amp; Table1[[#This Row],[Merkki ja malli]]</f>
        <v>Fonum OnePlus 12 5G</v>
      </c>
      <c r="G11" s="16" t="s">
        <v>26</v>
      </c>
      <c r="H11" s="35" t="s">
        <v>35</v>
      </c>
      <c r="I11" s="35" cm="1">
        <f t="array" ref="I11">_xlfn.XLOOKUP(Table1[[#This Row],[Malli]],'Puhelin tuotehinta'!$B$2:$B$49,_xlfn.XLOOKUP(Table1[[#This Row],[Tuote]],'Puhelin tuotehinta'!$C$1:$E$1,'Puhelin tuotehinta'!$C$2:$E$49))</f>
        <v>176</v>
      </c>
      <c r="J11" s="35">
        <f>_xlfn.XLOOKUP(Table1[[#This Row],[Malli]],Table3[Model],Table3[Average Price (EUR)])</f>
        <v>649</v>
      </c>
      <c r="K11" s="32">
        <v>24</v>
      </c>
      <c r="L11" s="32">
        <v>1</v>
      </c>
      <c r="M11" s="32" t="b">
        <v>0</v>
      </c>
    </row>
    <row r="12" spans="1:21">
      <c r="A12" s="34">
        <f t="shared" si="0"/>
        <v>11</v>
      </c>
      <c r="B12" s="34" t="s">
        <v>2</v>
      </c>
      <c r="C12" s="34" t="s">
        <v>17</v>
      </c>
      <c r="D12" s="34" t="s">
        <v>13</v>
      </c>
      <c r="E12" s="34" t="str">
        <f>Table1[[#This Row],[Merkki]] &amp; " " &amp; Table1[[#This Row],[Malli]]</f>
        <v>OnePlus 12 5G</v>
      </c>
      <c r="F12" s="34" t="str">
        <f>Table1[[#This Row],[Liike]] &amp; " " &amp; Table1[[#This Row],[Merkki ja malli]]</f>
        <v>Fonum OnePlus 12 5G</v>
      </c>
      <c r="G12" s="16" t="s">
        <v>4</v>
      </c>
      <c r="H12" s="35" t="s">
        <v>36</v>
      </c>
      <c r="I12" s="35" cm="1">
        <f t="array" ref="I12">_xlfn.XLOOKUP(Table1[[#This Row],[Malli]],'Puhelin tuotehinta'!$B$2:$B$49,_xlfn.XLOOKUP(Table1[[#This Row],[Tuote]],'Puhelin tuotehinta'!$C$1:$E$1,'Puhelin tuotehinta'!$C$2:$E$49))</f>
        <v>14</v>
      </c>
      <c r="J12" s="35">
        <f>_xlfn.XLOOKUP(Table1[[#This Row],[Malli]],Table3[Model],Table3[Average Price (EUR)])</f>
        <v>649</v>
      </c>
      <c r="K12" s="32">
        <v>12</v>
      </c>
      <c r="L12" s="32">
        <v>1</v>
      </c>
      <c r="M12" s="32" t="b">
        <v>0</v>
      </c>
      <c r="U12" t="s">
        <v>5</v>
      </c>
    </row>
    <row r="13" spans="1:21">
      <c r="A13" s="34">
        <f t="shared" si="0"/>
        <v>12</v>
      </c>
      <c r="B13" s="34" t="s">
        <v>2</v>
      </c>
      <c r="C13" s="34" t="s">
        <v>17</v>
      </c>
      <c r="D13" s="34" t="s">
        <v>13</v>
      </c>
      <c r="E13" s="34" t="str">
        <f>Table1[[#This Row],[Merkki]] &amp; " " &amp; Table1[[#This Row],[Malli]]</f>
        <v>OnePlus 12 5G</v>
      </c>
      <c r="F13" s="34" t="str">
        <f>Table1[[#This Row],[Liike]] &amp; " " &amp; Table1[[#This Row],[Merkki ja malli]]</f>
        <v>Fonum OnePlus 12 5G</v>
      </c>
      <c r="G13" s="16" t="s">
        <v>21</v>
      </c>
      <c r="H13" s="35"/>
      <c r="I13" s="35" cm="1">
        <f t="array" ref="I13">_xlfn.XLOOKUP(Table1[[#This Row],[Malli]],'Puhelin tuotehinta'!$B$2:$B$49,_xlfn.XLOOKUP(Table1[[#This Row],[Tuote]],'Puhelin tuotehinta'!$C$1:$E$1,'Puhelin tuotehinta'!$C$2:$E$49))</f>
        <v>15</v>
      </c>
      <c r="J13" s="35">
        <f>_xlfn.XLOOKUP(Table1[[#This Row],[Malli]],Table3[Model],Table3[Average Price (EUR)])</f>
        <v>649</v>
      </c>
      <c r="K13" s="32">
        <v>24</v>
      </c>
      <c r="L13" s="32">
        <v>3</v>
      </c>
      <c r="M13" s="32" t="b">
        <v>0</v>
      </c>
    </row>
    <row r="14" spans="1:21">
      <c r="A14" s="34">
        <f t="shared" si="0"/>
        <v>13</v>
      </c>
      <c r="B14" s="34" t="s">
        <v>2</v>
      </c>
      <c r="C14" s="34" t="s">
        <v>17</v>
      </c>
      <c r="D14" s="34" t="s">
        <v>12</v>
      </c>
      <c r="E14" s="34" t="str">
        <f>Table1[[#This Row],[Merkki]] &amp; " " &amp; Table1[[#This Row],[Malli]]</f>
        <v>OnePlus Nord CE 3 Lite 5G</v>
      </c>
      <c r="F14" s="34" t="str">
        <f>Table1[[#This Row],[Liike]] &amp; " " &amp; Table1[[#This Row],[Merkki ja malli]]</f>
        <v>Fonum OnePlus Nord CE 3 Lite 5G</v>
      </c>
      <c r="G14" s="16" t="s">
        <v>26</v>
      </c>
      <c r="H14" s="35" t="s">
        <v>33</v>
      </c>
      <c r="I14" s="35" cm="1">
        <f t="array" ref="I14">_xlfn.XLOOKUP(Table1[[#This Row],[Malli]],'Puhelin tuotehinta'!$B$2:$B$49,_xlfn.XLOOKUP(Table1[[#This Row],[Tuote]],'Puhelin tuotehinta'!$C$1:$E$1,'Puhelin tuotehinta'!$C$2:$E$49))</f>
        <v>40</v>
      </c>
      <c r="J14" s="35">
        <f>_xlfn.XLOOKUP(Table1[[#This Row],[Malli]],Table3[Model],Table3[Average Price (EUR)])</f>
        <v>249</v>
      </c>
      <c r="K14" s="32">
        <v>24</v>
      </c>
      <c r="L14" s="32">
        <v>1</v>
      </c>
      <c r="M14" s="32" t="b">
        <v>0</v>
      </c>
    </row>
    <row r="15" spans="1:21">
      <c r="A15" s="34">
        <f t="shared" si="0"/>
        <v>14</v>
      </c>
      <c r="B15" s="34" t="s">
        <v>2</v>
      </c>
      <c r="C15" s="34" t="s">
        <v>17</v>
      </c>
      <c r="D15" s="34" t="s">
        <v>12</v>
      </c>
      <c r="E15" s="34" t="str">
        <f>Table1[[#This Row],[Merkki]] &amp; " " &amp; Table1[[#This Row],[Malli]]</f>
        <v>OnePlus Nord CE 3 Lite 5G</v>
      </c>
      <c r="F15" s="34" t="str">
        <f>Table1[[#This Row],[Liike]] &amp; " " &amp; Table1[[#This Row],[Merkki ja malli]]</f>
        <v>Fonum OnePlus Nord CE 3 Lite 5G</v>
      </c>
      <c r="G15" s="16" t="s">
        <v>4</v>
      </c>
      <c r="H15" s="35" t="s">
        <v>34</v>
      </c>
      <c r="I15" s="35" cm="1">
        <f t="array" ref="I15">_xlfn.XLOOKUP(Table1[[#This Row],[Malli]],'Puhelin tuotehinta'!$B$2:$B$49,_xlfn.XLOOKUP(Table1[[#This Row],[Tuote]],'Puhelin tuotehinta'!$C$1:$E$1,'Puhelin tuotehinta'!$C$2:$E$49))</f>
        <v>10</v>
      </c>
      <c r="J15" s="35">
        <f>_xlfn.XLOOKUP(Table1[[#This Row],[Malli]],Table3[Model],Table3[Average Price (EUR)])</f>
        <v>249</v>
      </c>
      <c r="K15" s="32">
        <v>12</v>
      </c>
      <c r="L15" s="32">
        <v>1</v>
      </c>
      <c r="M15" s="32" t="b">
        <v>0</v>
      </c>
    </row>
    <row r="16" spans="1:21">
      <c r="A16" s="34">
        <f t="shared" si="0"/>
        <v>15</v>
      </c>
      <c r="B16" s="34" t="s">
        <v>2</v>
      </c>
      <c r="C16" s="34" t="s">
        <v>17</v>
      </c>
      <c r="D16" s="34" t="s">
        <v>12</v>
      </c>
      <c r="E16" s="34" t="str">
        <f>Table1[[#This Row],[Merkki]] &amp; " " &amp; Table1[[#This Row],[Malli]]</f>
        <v>OnePlus Nord CE 3 Lite 5G</v>
      </c>
      <c r="F16" s="34" t="str">
        <f>Table1[[#This Row],[Liike]] &amp; " " &amp; Table1[[#This Row],[Merkki ja malli]]</f>
        <v>Fonum OnePlus Nord CE 3 Lite 5G</v>
      </c>
      <c r="G16" s="16" t="s">
        <v>21</v>
      </c>
      <c r="H16" s="35"/>
      <c r="I16" s="35" cm="1">
        <f t="array" ref="I16">_xlfn.XLOOKUP(Table1[[#This Row],[Malli]],'Puhelin tuotehinta'!$B$2:$B$49,_xlfn.XLOOKUP(Table1[[#This Row],[Tuote]],'Puhelin tuotehinta'!$C$1:$E$1,'Puhelin tuotehinta'!$C$2:$E$49))</f>
        <v>15</v>
      </c>
      <c r="J16" s="35">
        <f>_xlfn.XLOOKUP(Table1[[#This Row],[Malli]],Table3[Model],Table3[Average Price (EUR)])</f>
        <v>249</v>
      </c>
      <c r="K16" s="32">
        <v>24</v>
      </c>
      <c r="L16" s="32">
        <v>3</v>
      </c>
      <c r="M16" s="32" t="b">
        <v>0</v>
      </c>
    </row>
    <row r="17" spans="1:13">
      <c r="A17" s="34">
        <f t="shared" si="0"/>
        <v>16</v>
      </c>
      <c r="B17" s="34" t="s">
        <v>2</v>
      </c>
      <c r="C17" s="34" t="s">
        <v>17</v>
      </c>
      <c r="D17" s="34" t="s">
        <v>18</v>
      </c>
      <c r="E17" s="34" t="str">
        <f>Table1[[#This Row],[Merkki]] &amp; " " &amp; Table1[[#This Row],[Malli]]</f>
        <v>OnePlus Nord CE4 Lite 5G</v>
      </c>
      <c r="F17" s="34" t="str">
        <f>Table1[[#This Row],[Liike]] &amp; " " &amp; Table1[[#This Row],[Merkki ja malli]]</f>
        <v>Fonum OnePlus Nord CE4 Lite 5G</v>
      </c>
      <c r="G17" s="16" t="s">
        <v>26</v>
      </c>
      <c r="H17" s="35" t="s">
        <v>32</v>
      </c>
      <c r="I17" s="35" cm="1">
        <f t="array" ref="I17">_xlfn.XLOOKUP(Table1[[#This Row],[Malli]],'Puhelin tuotehinta'!$B$2:$B$49,_xlfn.XLOOKUP(Table1[[#This Row],[Tuote]],'Puhelin tuotehinta'!$C$1:$E$1,'Puhelin tuotehinta'!$C$2:$E$49))</f>
        <v>88</v>
      </c>
      <c r="J17" s="35">
        <f>_xlfn.XLOOKUP(Table1[[#This Row],[Malli]],Table3[Model],Table3[Average Price (EUR)])</f>
        <v>179</v>
      </c>
      <c r="K17" s="32">
        <v>24</v>
      </c>
      <c r="L17" s="32">
        <v>1</v>
      </c>
      <c r="M17" s="32" t="b">
        <v>0</v>
      </c>
    </row>
    <row r="18" spans="1:13">
      <c r="A18" s="34">
        <f t="shared" si="0"/>
        <v>17</v>
      </c>
      <c r="B18" s="34" t="s">
        <v>2</v>
      </c>
      <c r="C18" s="34" t="s">
        <v>17</v>
      </c>
      <c r="D18" s="34" t="s">
        <v>18</v>
      </c>
      <c r="E18" s="34" t="str">
        <f>Table1[[#This Row],[Merkki]] &amp; " " &amp; Table1[[#This Row],[Malli]]</f>
        <v>OnePlus Nord CE4 Lite 5G</v>
      </c>
      <c r="F18" s="34" t="str">
        <f>Table1[[#This Row],[Liike]] &amp; " " &amp; Table1[[#This Row],[Merkki ja malli]]</f>
        <v>Fonum OnePlus Nord CE4 Lite 5G</v>
      </c>
      <c r="G18" s="16" t="s">
        <v>4</v>
      </c>
      <c r="H18" s="35"/>
      <c r="I18" s="35" cm="1">
        <f t="array" ref="I18">_xlfn.XLOOKUP(Table1[[#This Row],[Malli]],'Puhelin tuotehinta'!$B$2:$B$49,_xlfn.XLOOKUP(Table1[[#This Row],[Tuote]],'Puhelin tuotehinta'!$C$1:$E$1,'Puhelin tuotehinta'!$C$2:$E$49))</f>
        <v>12</v>
      </c>
      <c r="J18" s="35">
        <f>_xlfn.XLOOKUP(Table1[[#This Row],[Malli]],Table3[Model],Table3[Average Price (EUR)])</f>
        <v>179</v>
      </c>
      <c r="K18" s="32">
        <v>12</v>
      </c>
      <c r="L18" s="32">
        <v>1</v>
      </c>
      <c r="M18" s="32" t="b">
        <v>0</v>
      </c>
    </row>
    <row r="19" spans="1:13">
      <c r="A19" s="34">
        <f t="shared" si="0"/>
        <v>18</v>
      </c>
      <c r="B19" s="34" t="s">
        <v>2</v>
      </c>
      <c r="C19" s="34" t="s">
        <v>17</v>
      </c>
      <c r="D19" s="34" t="s">
        <v>18</v>
      </c>
      <c r="E19" s="34" t="str">
        <f>Table1[[#This Row],[Merkki]] &amp; " " &amp; Table1[[#This Row],[Malli]]</f>
        <v>OnePlus Nord CE4 Lite 5G</v>
      </c>
      <c r="F19" s="34" t="str">
        <f>Table1[[#This Row],[Liike]] &amp; " " &amp; Table1[[#This Row],[Merkki ja malli]]</f>
        <v>Fonum OnePlus Nord CE4 Lite 5G</v>
      </c>
      <c r="G19" s="16" t="s">
        <v>21</v>
      </c>
      <c r="H19" s="35"/>
      <c r="I19" s="35" cm="1">
        <f t="array" ref="I19">_xlfn.XLOOKUP(Table1[[#This Row],[Malli]],'Puhelin tuotehinta'!$B$2:$B$49,_xlfn.XLOOKUP(Table1[[#This Row],[Tuote]],'Puhelin tuotehinta'!$C$1:$E$1,'Puhelin tuotehinta'!$C$2:$E$49))</f>
        <v>15</v>
      </c>
      <c r="J19" s="35">
        <f>_xlfn.XLOOKUP(Table1[[#This Row],[Malli]],Table3[Model],Table3[Average Price (EUR)])</f>
        <v>179</v>
      </c>
      <c r="K19" s="32">
        <v>24</v>
      </c>
      <c r="L19" s="32">
        <v>3</v>
      </c>
      <c r="M19" s="32" t="b">
        <v>0</v>
      </c>
    </row>
    <row r="20" spans="1:13">
      <c r="A20" s="34">
        <f t="shared" si="0"/>
        <v>19</v>
      </c>
      <c r="B20" s="34" t="s">
        <v>2</v>
      </c>
      <c r="C20" s="34" t="s">
        <v>11</v>
      </c>
      <c r="D20" s="34" t="s">
        <v>10</v>
      </c>
      <c r="E20" s="34" t="str">
        <f>Table1[[#This Row],[Merkki]] &amp; " " &amp; Table1[[#This Row],[Malli]]</f>
        <v>Oppo A18</v>
      </c>
      <c r="F20" s="34" t="str">
        <f>Table1[[#This Row],[Liike]] &amp; " " &amp; Table1[[#This Row],[Merkki ja malli]]</f>
        <v>Fonum Oppo A18</v>
      </c>
      <c r="G20" s="16" t="s">
        <v>26</v>
      </c>
      <c r="H20" s="35" t="s">
        <v>37</v>
      </c>
      <c r="I20" s="35" cm="1">
        <f t="array" ref="I20">_xlfn.XLOOKUP(Table1[[#This Row],[Malli]],'Puhelin tuotehinta'!$B$2:$B$49,_xlfn.XLOOKUP(Table1[[#This Row],[Tuote]],'Puhelin tuotehinta'!$C$1:$E$1,'Puhelin tuotehinta'!$C$2:$E$49))</f>
        <v>16</v>
      </c>
      <c r="J20" s="35">
        <f>_xlfn.XLOOKUP(Table1[[#This Row],[Malli]],Table3[Model],Table3[Average Price (EUR)])</f>
        <v>79</v>
      </c>
      <c r="K20" s="32">
        <v>24</v>
      </c>
      <c r="L20" s="32">
        <v>1</v>
      </c>
      <c r="M20" s="32" t="b">
        <v>0</v>
      </c>
    </row>
    <row r="21" spans="1:13">
      <c r="A21" s="34">
        <f t="shared" si="0"/>
        <v>20</v>
      </c>
      <c r="B21" s="34" t="s">
        <v>2</v>
      </c>
      <c r="C21" s="34" t="s">
        <v>11</v>
      </c>
      <c r="D21" s="34" t="s">
        <v>10</v>
      </c>
      <c r="E21" s="34" t="str">
        <f>Table1[[#This Row],[Merkki]] &amp; " " &amp; Table1[[#This Row],[Malli]]</f>
        <v>Oppo A18</v>
      </c>
      <c r="F21" s="34" t="str">
        <f>Table1[[#This Row],[Liike]] &amp; " " &amp; Table1[[#This Row],[Merkki ja malli]]</f>
        <v>Fonum Oppo A18</v>
      </c>
      <c r="G21" s="16" t="s">
        <v>4</v>
      </c>
      <c r="H21" s="35"/>
      <c r="I21" s="35" cm="1">
        <f t="array" ref="I21">_xlfn.XLOOKUP(Table1[[#This Row],[Malli]],'Puhelin tuotehinta'!$B$2:$B$49,_xlfn.XLOOKUP(Table1[[#This Row],[Tuote]],'Puhelin tuotehinta'!$C$1:$E$1,'Puhelin tuotehinta'!$C$2:$E$49))</f>
        <v>17</v>
      </c>
      <c r="J21" s="35">
        <f>_xlfn.XLOOKUP(Table1[[#This Row],[Malli]],Table3[Model],Table3[Average Price (EUR)])</f>
        <v>79</v>
      </c>
      <c r="K21" s="32">
        <v>12</v>
      </c>
      <c r="L21" s="32">
        <v>1</v>
      </c>
      <c r="M21" s="32" t="b">
        <v>0</v>
      </c>
    </row>
    <row r="22" spans="1:13">
      <c r="A22" s="34">
        <f t="shared" si="0"/>
        <v>21</v>
      </c>
      <c r="B22" s="34" t="s">
        <v>2</v>
      </c>
      <c r="C22" s="34" t="s">
        <v>11</v>
      </c>
      <c r="D22" s="34" t="s">
        <v>10</v>
      </c>
      <c r="E22" s="34" t="str">
        <f>Table1[[#This Row],[Merkki]] &amp; " " &amp; Table1[[#This Row],[Malli]]</f>
        <v>Oppo A18</v>
      </c>
      <c r="F22" s="34" t="str">
        <f>Table1[[#This Row],[Liike]] &amp; " " &amp; Table1[[#This Row],[Merkki ja malli]]</f>
        <v>Fonum Oppo A18</v>
      </c>
      <c r="G22" s="16" t="s">
        <v>21</v>
      </c>
      <c r="H22" s="35"/>
      <c r="I22" s="35" cm="1">
        <f t="array" ref="I22">_xlfn.XLOOKUP(Table1[[#This Row],[Malli]],'Puhelin tuotehinta'!$B$2:$B$49,_xlfn.XLOOKUP(Table1[[#This Row],[Tuote]],'Puhelin tuotehinta'!$C$1:$E$1,'Puhelin tuotehinta'!$C$2:$E$49))</f>
        <v>17</v>
      </c>
      <c r="J22" s="35">
        <f>_xlfn.XLOOKUP(Table1[[#This Row],[Malli]],Table3[Model],Table3[Average Price (EUR)])</f>
        <v>79</v>
      </c>
      <c r="K22" s="32">
        <v>24</v>
      </c>
      <c r="L22" s="32">
        <v>3</v>
      </c>
      <c r="M22" s="32" t="b">
        <v>0</v>
      </c>
    </row>
    <row r="23" spans="1:13">
      <c r="A23" s="34">
        <f t="shared" si="0"/>
        <v>22</v>
      </c>
      <c r="B23" s="34" t="s">
        <v>2</v>
      </c>
      <c r="C23" s="34" t="s">
        <v>3</v>
      </c>
      <c r="D23" s="34" t="s">
        <v>14</v>
      </c>
      <c r="E23" s="34" t="str">
        <f>Table1[[#This Row],[Merkki]] &amp; " " &amp; Table1[[#This Row],[Malli]]</f>
        <v>Samsung Galaxy A15 5G</v>
      </c>
      <c r="F23" s="34" t="str">
        <f>Table1[[#This Row],[Liike]] &amp; " " &amp; Table1[[#This Row],[Merkki ja malli]]</f>
        <v>Fonum Samsung Galaxy A15 5G</v>
      </c>
      <c r="G23" s="16" t="s">
        <v>26</v>
      </c>
      <c r="H23" s="35" t="s">
        <v>36</v>
      </c>
      <c r="I23" s="35" cm="1">
        <f t="array" ref="I23">_xlfn.XLOOKUP(Table1[[#This Row],[Malli]],'Puhelin tuotehinta'!$B$2:$B$49,_xlfn.XLOOKUP(Table1[[#This Row],[Tuote]],'Puhelin tuotehinta'!$C$1:$E$1,'Puhelin tuotehinta'!$C$2:$E$49))</f>
        <v>27</v>
      </c>
      <c r="J23" s="35">
        <f>_xlfn.XLOOKUP(Table1[[#This Row],[Malli]],Table3[Model],Table3[Average Price (EUR)])</f>
        <v>129</v>
      </c>
      <c r="K23" s="32">
        <v>24</v>
      </c>
      <c r="L23" s="32">
        <v>1</v>
      </c>
      <c r="M23" s="32" t="b">
        <v>0</v>
      </c>
    </row>
    <row r="24" spans="1:13">
      <c r="A24" s="34">
        <f t="shared" si="0"/>
        <v>23</v>
      </c>
      <c r="B24" s="34" t="s">
        <v>2</v>
      </c>
      <c r="C24" s="34" t="s">
        <v>3</v>
      </c>
      <c r="D24" s="34" t="s">
        <v>14</v>
      </c>
      <c r="E24" s="34" t="str">
        <f>Table1[[#This Row],[Merkki]] &amp; " " &amp; Table1[[#This Row],[Malli]]</f>
        <v>Samsung Galaxy A15 5G</v>
      </c>
      <c r="F24" s="34" t="str">
        <f>Table1[[#This Row],[Liike]] &amp; " " &amp; Table1[[#This Row],[Merkki ja malli]]</f>
        <v>Fonum Samsung Galaxy A15 5G</v>
      </c>
      <c r="G24" s="16" t="s">
        <v>4</v>
      </c>
      <c r="H24" s="35" t="s">
        <v>38</v>
      </c>
      <c r="I24" s="35" cm="1">
        <f t="array" ref="I24">_xlfn.XLOOKUP(Table1[[#This Row],[Malli]],'Puhelin tuotehinta'!$B$2:$B$49,_xlfn.XLOOKUP(Table1[[#This Row],[Tuote]],'Puhelin tuotehinta'!$C$1:$E$1,'Puhelin tuotehinta'!$C$2:$E$49))</f>
        <v>18</v>
      </c>
      <c r="J24" s="35">
        <f>_xlfn.XLOOKUP(Table1[[#This Row],[Malli]],Table3[Model],Table3[Average Price (EUR)])</f>
        <v>129</v>
      </c>
      <c r="K24" s="32">
        <v>12</v>
      </c>
      <c r="L24" s="32">
        <v>1</v>
      </c>
      <c r="M24" s="32" t="b">
        <v>0</v>
      </c>
    </row>
    <row r="25" spans="1:13">
      <c r="A25" s="34">
        <f t="shared" si="0"/>
        <v>24</v>
      </c>
      <c r="B25" s="34" t="s">
        <v>2</v>
      </c>
      <c r="C25" s="34" t="s">
        <v>3</v>
      </c>
      <c r="D25" s="34" t="s">
        <v>14</v>
      </c>
      <c r="E25" s="34" t="str">
        <f>Table1[[#This Row],[Merkki]] &amp; " " &amp; Table1[[#This Row],[Malli]]</f>
        <v>Samsung Galaxy A15 5G</v>
      </c>
      <c r="F25" s="34" t="str">
        <f>Table1[[#This Row],[Liike]] &amp; " " &amp; Table1[[#This Row],[Merkki ja malli]]</f>
        <v>Fonum Samsung Galaxy A15 5G</v>
      </c>
      <c r="G25" s="16" t="s">
        <v>21</v>
      </c>
      <c r="H25" s="35"/>
      <c r="I25" s="35" cm="1">
        <f t="array" ref="I25">_xlfn.XLOOKUP(Table1[[#This Row],[Malli]],'Puhelin tuotehinta'!$B$2:$B$49,_xlfn.XLOOKUP(Table1[[#This Row],[Tuote]],'Puhelin tuotehinta'!$C$1:$E$1,'Puhelin tuotehinta'!$C$2:$E$49))</f>
        <v>11</v>
      </c>
      <c r="J25" s="35">
        <f>_xlfn.XLOOKUP(Table1[[#This Row],[Malli]],Table3[Model],Table3[Average Price (EUR)])</f>
        <v>129</v>
      </c>
      <c r="K25" s="32">
        <v>24</v>
      </c>
      <c r="L25" s="32">
        <v>3</v>
      </c>
      <c r="M25" s="32" t="b">
        <v>0</v>
      </c>
    </row>
    <row r="26" spans="1:13">
      <c r="A26" s="34">
        <f t="shared" si="0"/>
        <v>25</v>
      </c>
      <c r="B26" s="34" t="s">
        <v>2</v>
      </c>
      <c r="C26" s="34" t="s">
        <v>3</v>
      </c>
      <c r="D26" s="34" t="s">
        <v>16</v>
      </c>
      <c r="E26" s="34" t="str">
        <f>Table1[[#This Row],[Merkki]] &amp; " " &amp; Table1[[#This Row],[Malli]]</f>
        <v>Samsung Galaxy A25 5G</v>
      </c>
      <c r="F26" s="34" t="str">
        <f>Table1[[#This Row],[Liike]] &amp; " " &amp; Table1[[#This Row],[Merkki ja malli]]</f>
        <v>Fonum Samsung Galaxy A25 5G</v>
      </c>
      <c r="G26" s="16" t="s">
        <v>26</v>
      </c>
      <c r="H26" s="35">
        <v>99</v>
      </c>
      <c r="I26" s="35" cm="1">
        <f t="array" ref="I26">_xlfn.XLOOKUP(Table1[[#This Row],[Malli]],'Puhelin tuotehinta'!$B$2:$B$49,_xlfn.XLOOKUP(Table1[[#This Row],[Tuote]],'Puhelin tuotehinta'!$C$1:$E$1,'Puhelin tuotehinta'!$C$2:$E$49))</f>
        <v>49</v>
      </c>
      <c r="J26" s="35">
        <f>_xlfn.XLOOKUP(Table1[[#This Row],[Malli]],Table3[Model],Table3[Average Price (EUR)])</f>
        <v>169</v>
      </c>
      <c r="K26" s="32">
        <v>24</v>
      </c>
      <c r="L26" s="32">
        <v>1</v>
      </c>
      <c r="M26" s="32" t="b">
        <v>0</v>
      </c>
    </row>
    <row r="27" spans="1:13">
      <c r="A27" s="34">
        <f t="shared" si="0"/>
        <v>26</v>
      </c>
      <c r="B27" s="34" t="s">
        <v>2</v>
      </c>
      <c r="C27" s="34" t="s">
        <v>3</v>
      </c>
      <c r="D27" s="34" t="s">
        <v>16</v>
      </c>
      <c r="E27" s="34" t="str">
        <f>Table1[[#This Row],[Merkki]] &amp; " " &amp; Table1[[#This Row],[Malli]]</f>
        <v>Samsung Galaxy A25 5G</v>
      </c>
      <c r="F27" s="34" t="str">
        <f>Table1[[#This Row],[Liike]] &amp; " " &amp; Table1[[#This Row],[Merkki ja malli]]</f>
        <v>Fonum Samsung Galaxy A25 5G</v>
      </c>
      <c r="G27" s="16" t="s">
        <v>4</v>
      </c>
      <c r="H27" s="35"/>
      <c r="I27" s="35" cm="1">
        <f t="array" ref="I27">_xlfn.XLOOKUP(Table1[[#This Row],[Malli]],'Puhelin tuotehinta'!$B$2:$B$49,_xlfn.XLOOKUP(Table1[[#This Row],[Tuote]],'Puhelin tuotehinta'!$C$1:$E$1,'Puhelin tuotehinta'!$C$2:$E$49))</f>
        <v>10</v>
      </c>
      <c r="J27" s="35">
        <f>_xlfn.XLOOKUP(Table1[[#This Row],[Malli]],Table3[Model],Table3[Average Price (EUR)])</f>
        <v>169</v>
      </c>
      <c r="K27" s="32">
        <v>12</v>
      </c>
      <c r="L27" s="32">
        <v>1</v>
      </c>
      <c r="M27" s="32" t="b">
        <v>0</v>
      </c>
    </row>
    <row r="28" spans="1:13">
      <c r="A28" s="34">
        <f t="shared" si="0"/>
        <v>27</v>
      </c>
      <c r="B28" s="34" t="s">
        <v>2</v>
      </c>
      <c r="C28" s="34" t="s">
        <v>3</v>
      </c>
      <c r="D28" s="34" t="s">
        <v>16</v>
      </c>
      <c r="E28" s="34" t="str">
        <f>Table1[[#This Row],[Merkki]] &amp; " " &amp; Table1[[#This Row],[Malli]]</f>
        <v>Samsung Galaxy A25 5G</v>
      </c>
      <c r="F28" s="34" t="str">
        <f>Table1[[#This Row],[Liike]] &amp; " " &amp; Table1[[#This Row],[Merkki ja malli]]</f>
        <v>Fonum Samsung Galaxy A25 5G</v>
      </c>
      <c r="G28" s="16" t="s">
        <v>21</v>
      </c>
      <c r="H28" s="35"/>
      <c r="I28" s="35" cm="1">
        <f t="array" ref="I28">_xlfn.XLOOKUP(Table1[[#This Row],[Malli]],'Puhelin tuotehinta'!$B$2:$B$49,_xlfn.XLOOKUP(Table1[[#This Row],[Tuote]],'Puhelin tuotehinta'!$C$1:$E$1,'Puhelin tuotehinta'!$C$2:$E$49))</f>
        <v>18</v>
      </c>
      <c r="J28" s="35">
        <f>_xlfn.XLOOKUP(Table1[[#This Row],[Malli]],Table3[Model],Table3[Average Price (EUR)])</f>
        <v>169</v>
      </c>
      <c r="K28" s="32">
        <v>24</v>
      </c>
      <c r="L28" s="32">
        <v>3</v>
      </c>
      <c r="M28" s="32" t="b">
        <v>0</v>
      </c>
    </row>
    <row r="29" spans="1:13">
      <c r="A29" s="34">
        <f t="shared" si="0"/>
        <v>28</v>
      </c>
      <c r="B29" s="34" t="s">
        <v>2</v>
      </c>
      <c r="C29" s="34" t="s">
        <v>3</v>
      </c>
      <c r="D29" s="34" t="s">
        <v>15</v>
      </c>
      <c r="E29" s="34" t="str">
        <f>Table1[[#This Row],[Merkki]] &amp; " " &amp; Table1[[#This Row],[Malli]]</f>
        <v>Samsung Galaxy A55 5G</v>
      </c>
      <c r="F29" s="34" t="str">
        <f>Table1[[#This Row],[Liike]] &amp; " " &amp; Table1[[#This Row],[Merkki ja malli]]</f>
        <v>Fonum Samsung Galaxy A55 5G</v>
      </c>
      <c r="G29" s="16" t="s">
        <v>26</v>
      </c>
      <c r="H29" s="35">
        <v>99</v>
      </c>
      <c r="I29" s="35" cm="1">
        <f t="array" ref="I29">_xlfn.XLOOKUP(Table1[[#This Row],[Malli]],'Puhelin tuotehinta'!$B$2:$B$49,_xlfn.XLOOKUP(Table1[[#This Row],[Tuote]],'Puhelin tuotehinta'!$C$1:$E$1,'Puhelin tuotehinta'!$C$2:$E$49))</f>
        <v>66</v>
      </c>
      <c r="J29" s="35">
        <f>_xlfn.XLOOKUP(Table1[[#This Row],[Malli]],Table3[Model],Table3[Average Price (EUR)])</f>
        <v>299</v>
      </c>
      <c r="K29" s="32">
        <v>24</v>
      </c>
      <c r="L29" s="32">
        <v>1</v>
      </c>
      <c r="M29" s="32" t="b">
        <v>0</v>
      </c>
    </row>
    <row r="30" spans="1:13">
      <c r="A30" s="34">
        <f t="shared" si="0"/>
        <v>29</v>
      </c>
      <c r="B30" s="34" t="s">
        <v>2</v>
      </c>
      <c r="C30" s="34" t="s">
        <v>3</v>
      </c>
      <c r="D30" s="34" t="s">
        <v>15</v>
      </c>
      <c r="E30" s="34" t="str">
        <f>Table1[[#This Row],[Merkki]] &amp; " " &amp; Table1[[#This Row],[Malli]]</f>
        <v>Samsung Galaxy A55 5G</v>
      </c>
      <c r="F30" s="34" t="str">
        <f>Table1[[#This Row],[Liike]] &amp; " " &amp; Table1[[#This Row],[Merkki ja malli]]</f>
        <v>Fonum Samsung Galaxy A55 5G</v>
      </c>
      <c r="G30" s="16" t="s">
        <v>4</v>
      </c>
      <c r="H30" s="35"/>
      <c r="I30" s="35" cm="1">
        <f t="array" ref="I30">_xlfn.XLOOKUP(Table1[[#This Row],[Malli]],'Puhelin tuotehinta'!$B$2:$B$49,_xlfn.XLOOKUP(Table1[[#This Row],[Tuote]],'Puhelin tuotehinta'!$C$1:$E$1,'Puhelin tuotehinta'!$C$2:$E$49))</f>
        <v>25</v>
      </c>
      <c r="J30" s="35">
        <f>_xlfn.XLOOKUP(Table1[[#This Row],[Malli]],Table3[Model],Table3[Average Price (EUR)])</f>
        <v>299</v>
      </c>
      <c r="K30" s="32">
        <v>12</v>
      </c>
      <c r="L30" s="32">
        <v>1</v>
      </c>
      <c r="M30" s="32" t="b">
        <v>0</v>
      </c>
    </row>
    <row r="31" spans="1:13">
      <c r="A31" s="34">
        <f t="shared" si="0"/>
        <v>30</v>
      </c>
      <c r="B31" s="34" t="s">
        <v>2</v>
      </c>
      <c r="C31" s="34" t="s">
        <v>3</v>
      </c>
      <c r="D31" s="34" t="s">
        <v>15</v>
      </c>
      <c r="E31" s="34" t="str">
        <f>Table1[[#This Row],[Merkki]] &amp; " " &amp; Table1[[#This Row],[Malli]]</f>
        <v>Samsung Galaxy A55 5G</v>
      </c>
      <c r="F31" s="34" t="str">
        <f>Table1[[#This Row],[Liike]] &amp; " " &amp; Table1[[#This Row],[Merkki ja malli]]</f>
        <v>Fonum Samsung Galaxy A55 5G</v>
      </c>
      <c r="G31" s="16" t="s">
        <v>21</v>
      </c>
      <c r="H31" s="35"/>
      <c r="I31" s="35" cm="1">
        <f t="array" ref="I31">_xlfn.XLOOKUP(Table1[[#This Row],[Malli]],'Puhelin tuotehinta'!$B$2:$B$49,_xlfn.XLOOKUP(Table1[[#This Row],[Tuote]],'Puhelin tuotehinta'!$C$1:$E$1,'Puhelin tuotehinta'!$C$2:$E$49))</f>
        <v>28</v>
      </c>
      <c r="J31" s="35">
        <f>_xlfn.XLOOKUP(Table1[[#This Row],[Malli]],Table3[Model],Table3[Average Price (EUR)])</f>
        <v>299</v>
      </c>
      <c r="K31" s="32">
        <v>24</v>
      </c>
      <c r="L31" s="32">
        <v>3</v>
      </c>
      <c r="M31" s="32" t="b">
        <v>0</v>
      </c>
    </row>
    <row r="32" spans="1:13">
      <c r="A32" s="34">
        <f t="shared" si="0"/>
        <v>31</v>
      </c>
      <c r="B32" s="34" t="s">
        <v>53</v>
      </c>
      <c r="C32" s="34" t="s">
        <v>22</v>
      </c>
      <c r="D32" s="34" t="s">
        <v>23</v>
      </c>
      <c r="E32" s="34" t="str">
        <f>Table1[[#This Row],[Merkki]] &amp; " " &amp; Table1[[#This Row],[Malli]]</f>
        <v>Apple iPhone 13 5G</v>
      </c>
      <c r="F32" s="34" t="str">
        <f>Table1[[#This Row],[Liike]] &amp; " " &amp; Table1[[#This Row],[Merkki ja malli]]</f>
        <v>Handleit Apple iPhone 13 5G</v>
      </c>
      <c r="G32" s="16" t="s">
        <v>26</v>
      </c>
      <c r="H32" s="35">
        <v>329</v>
      </c>
      <c r="I32" s="35" cm="1">
        <f t="array" ref="I32">_xlfn.XLOOKUP(Table1[[#This Row],[Malli]],'Puhelin tuotehinta'!$B$2:$B$49,_xlfn.XLOOKUP(Table1[[#This Row],[Tuote]],'Puhelin tuotehinta'!$C$1:$E$1,'Puhelin tuotehinta'!$C$2:$E$49))</f>
        <v>181</v>
      </c>
      <c r="J32" s="35">
        <f>_xlfn.XLOOKUP(Table1[[#This Row],[Malli]],Table3[Model],Table3[Average Price (EUR)])</f>
        <v>479</v>
      </c>
      <c r="K32" s="32">
        <v>12</v>
      </c>
      <c r="L32" s="32">
        <v>1</v>
      </c>
      <c r="M32" s="32" t="b">
        <v>1</v>
      </c>
    </row>
    <row r="33" spans="1:13">
      <c r="A33" s="34">
        <f t="shared" si="0"/>
        <v>32</v>
      </c>
      <c r="B33" s="34" t="s">
        <v>53</v>
      </c>
      <c r="C33" s="34" t="s">
        <v>22</v>
      </c>
      <c r="D33" s="34" t="s">
        <v>23</v>
      </c>
      <c r="E33" s="34" t="str">
        <f>Table1[[#This Row],[Merkki]] &amp; " " &amp; Table1[[#This Row],[Malli]]</f>
        <v>Apple iPhone 13 5G</v>
      </c>
      <c r="F33" s="34" t="str">
        <f>Table1[[#This Row],[Liike]] &amp; " " &amp; Table1[[#This Row],[Merkki ja malli]]</f>
        <v>Handleit Apple iPhone 13 5G</v>
      </c>
      <c r="G33" s="16" t="s">
        <v>4</v>
      </c>
      <c r="H33" s="35">
        <v>55</v>
      </c>
      <c r="I33" s="35" cm="1">
        <f t="array" ref="I33">_xlfn.XLOOKUP(Table1[[#This Row],[Malli]],'Puhelin tuotehinta'!$B$2:$B$49,_xlfn.XLOOKUP(Table1[[#This Row],[Tuote]],'Puhelin tuotehinta'!$C$1:$E$1,'Puhelin tuotehinta'!$C$2:$E$49))</f>
        <v>27</v>
      </c>
      <c r="J33" s="35">
        <f>_xlfn.XLOOKUP(Table1[[#This Row],[Malli]],Table3[Model],Table3[Average Price (EUR)])</f>
        <v>479</v>
      </c>
      <c r="K33" s="32">
        <v>6</v>
      </c>
      <c r="L33" s="32">
        <v>1</v>
      </c>
      <c r="M33" s="32" t="b">
        <v>0</v>
      </c>
    </row>
    <row r="34" spans="1:13">
      <c r="A34" s="34">
        <f t="shared" ref="A34:A65" si="1">ROW(A34) - 1</f>
        <v>33</v>
      </c>
      <c r="B34" s="34" t="s">
        <v>53</v>
      </c>
      <c r="C34" s="34" t="s">
        <v>22</v>
      </c>
      <c r="D34" s="34" t="s">
        <v>23</v>
      </c>
      <c r="E34" s="34" t="str">
        <f>Table1[[#This Row],[Merkki]] &amp; " " &amp; Table1[[#This Row],[Malli]]</f>
        <v>Apple iPhone 13 5G</v>
      </c>
      <c r="F34" s="34" t="str">
        <f>Table1[[#This Row],[Liike]] &amp; " " &amp; Table1[[#This Row],[Merkki ja malli]]</f>
        <v>Handleit Apple iPhone 13 5G</v>
      </c>
      <c r="G34" s="16" t="s">
        <v>21</v>
      </c>
      <c r="H34" s="35">
        <v>89</v>
      </c>
      <c r="I34" s="35" cm="1">
        <f t="array" ref="I34">_xlfn.XLOOKUP(Table1[[#This Row],[Malli]],'Puhelin tuotehinta'!$B$2:$B$49,_xlfn.XLOOKUP(Table1[[#This Row],[Tuote]],'Puhelin tuotehinta'!$C$1:$E$1,'Puhelin tuotehinta'!$C$2:$E$49))</f>
        <v>21</v>
      </c>
      <c r="J34" s="35">
        <f>_xlfn.XLOOKUP(Table1[[#This Row],[Malli]],Table3[Model],Table3[Average Price (EUR)])</f>
        <v>479</v>
      </c>
      <c r="K34" s="32">
        <v>12</v>
      </c>
      <c r="L34" s="32">
        <v>2</v>
      </c>
      <c r="M34" s="32" t="b">
        <v>0</v>
      </c>
    </row>
    <row r="35" spans="1:13">
      <c r="A35" s="34">
        <f t="shared" si="1"/>
        <v>34</v>
      </c>
      <c r="B35" s="34" t="s">
        <v>53</v>
      </c>
      <c r="C35" s="34" t="s">
        <v>22</v>
      </c>
      <c r="D35" s="34" t="s">
        <v>24</v>
      </c>
      <c r="E35" s="34" t="str">
        <f>Table1[[#This Row],[Merkki]] &amp; " " &amp; Table1[[#This Row],[Malli]]</f>
        <v>Apple iPhone 15 Pro 5G</v>
      </c>
      <c r="F35" s="34" t="str">
        <f>Table1[[#This Row],[Liike]] &amp; " " &amp; Table1[[#This Row],[Merkki ja malli]]</f>
        <v>Handleit Apple iPhone 15 Pro 5G</v>
      </c>
      <c r="G35" s="16" t="s">
        <v>21</v>
      </c>
      <c r="H35" s="35">
        <v>119</v>
      </c>
      <c r="I35" s="35" cm="1">
        <f t="array" ref="I35">_xlfn.XLOOKUP(Table1[[#This Row],[Malli]],'Puhelin tuotehinta'!$B$2:$B$49,_xlfn.XLOOKUP(Table1[[#This Row],[Tuote]],'Puhelin tuotehinta'!$C$1:$E$1,'Puhelin tuotehinta'!$C$2:$E$49))</f>
        <v>38</v>
      </c>
      <c r="J35" s="35">
        <f>_xlfn.XLOOKUP(Table1[[#This Row],[Malli]],Table3[Model],Table3[Average Price (EUR)])</f>
        <v>1179</v>
      </c>
      <c r="K35" s="32">
        <v>12</v>
      </c>
      <c r="L35" s="32">
        <v>2</v>
      </c>
      <c r="M35" s="32" t="b">
        <v>0</v>
      </c>
    </row>
    <row r="36" spans="1:13">
      <c r="A36" s="34">
        <f t="shared" si="1"/>
        <v>35</v>
      </c>
      <c r="B36" s="34" t="s">
        <v>53</v>
      </c>
      <c r="C36" s="34" t="s">
        <v>22</v>
      </c>
      <c r="D36" s="34" t="s">
        <v>24</v>
      </c>
      <c r="E36" s="34" t="str">
        <f>Table1[[#This Row],[Merkki]] &amp; " " &amp; Table1[[#This Row],[Malli]]</f>
        <v>Apple iPhone 15 Pro 5G</v>
      </c>
      <c r="F36" s="34" t="str">
        <f>Table1[[#This Row],[Liike]] &amp; " " &amp; Table1[[#This Row],[Merkki ja malli]]</f>
        <v>Handleit Apple iPhone 15 Pro 5G</v>
      </c>
      <c r="G36" s="16" t="s">
        <v>26</v>
      </c>
      <c r="H36" s="35">
        <v>479</v>
      </c>
      <c r="I36" s="35" cm="1">
        <f t="array" ref="I36">_xlfn.XLOOKUP(Table1[[#This Row],[Malli]],'Puhelin tuotehinta'!$B$2:$B$49,_xlfn.XLOOKUP(Table1[[#This Row],[Tuote]],'Puhelin tuotehinta'!$C$1:$E$1,'Puhelin tuotehinta'!$C$2:$E$49))</f>
        <v>330</v>
      </c>
      <c r="J36" s="35">
        <f>_xlfn.XLOOKUP(Table1[[#This Row],[Malli]],Table3[Model],Table3[Average Price (EUR)])</f>
        <v>1179</v>
      </c>
      <c r="K36" s="32">
        <v>12</v>
      </c>
      <c r="L36" s="32">
        <v>1</v>
      </c>
      <c r="M36" s="32" t="b">
        <v>1</v>
      </c>
    </row>
    <row r="37" spans="1:13">
      <c r="A37" s="34">
        <f t="shared" si="1"/>
        <v>36</v>
      </c>
      <c r="B37" s="34" t="s">
        <v>53</v>
      </c>
      <c r="C37" s="34" t="s">
        <v>22</v>
      </c>
      <c r="D37" s="34" t="s">
        <v>24</v>
      </c>
      <c r="E37" s="34" t="str">
        <f>Table1[[#This Row],[Merkki]] &amp; " " &amp; Table1[[#This Row],[Malli]]</f>
        <v>Apple iPhone 15 Pro 5G</v>
      </c>
      <c r="F37" s="34" t="str">
        <f>Table1[[#This Row],[Liike]] &amp; " " &amp; Table1[[#This Row],[Merkki ja malli]]</f>
        <v>Handleit Apple iPhone 15 Pro 5G</v>
      </c>
      <c r="G37" s="16" t="s">
        <v>4</v>
      </c>
      <c r="H37" s="35">
        <v>89</v>
      </c>
      <c r="I37" s="35" cm="1">
        <f t="array" ref="I37">_xlfn.XLOOKUP(Table1[[#This Row],[Malli]],'Puhelin tuotehinta'!$B$2:$B$49,_xlfn.XLOOKUP(Table1[[#This Row],[Tuote]],'Puhelin tuotehinta'!$C$1:$E$1,'Puhelin tuotehinta'!$C$2:$E$49))</f>
        <v>27</v>
      </c>
      <c r="J37" s="35">
        <f>_xlfn.XLOOKUP(Table1[[#This Row],[Malli]],Table3[Model],Table3[Average Price (EUR)])</f>
        <v>1179</v>
      </c>
      <c r="K37" s="32">
        <v>6</v>
      </c>
      <c r="L37" s="32">
        <v>1</v>
      </c>
      <c r="M37" s="32" t="b">
        <v>0</v>
      </c>
    </row>
    <row r="38" spans="1:13">
      <c r="A38" s="34">
        <f t="shared" si="1"/>
        <v>37</v>
      </c>
      <c r="B38" s="34" t="s">
        <v>53</v>
      </c>
      <c r="C38" s="34" t="s">
        <v>19</v>
      </c>
      <c r="D38" s="34" t="s">
        <v>20</v>
      </c>
      <c r="E38" s="34" t="str">
        <f>Table1[[#This Row],[Merkki]] &amp; " " &amp; Table1[[#This Row],[Malli]]</f>
        <v>Honor X6a</v>
      </c>
      <c r="F38" s="34" t="str">
        <f>Table1[[#This Row],[Liike]] &amp; " " &amp; Table1[[#This Row],[Merkki ja malli]]</f>
        <v>Handleit Honor X6a</v>
      </c>
      <c r="G38" s="16" t="s">
        <v>26</v>
      </c>
      <c r="H38" s="35">
        <v>99</v>
      </c>
      <c r="I38" s="35" cm="1">
        <f t="array" ref="I38">_xlfn.XLOOKUP(Table1[[#This Row],[Malli]],'Puhelin tuotehinta'!$B$2:$B$49,_xlfn.XLOOKUP(Table1[[#This Row],[Tuote]],'Puhelin tuotehinta'!$C$1:$E$1,'Puhelin tuotehinta'!$C$2:$E$49))</f>
        <v>40</v>
      </c>
      <c r="J38" s="35">
        <f>_xlfn.XLOOKUP(Table1[[#This Row],[Malli]],Table3[Model],Table3[Average Price (EUR)])</f>
        <v>117</v>
      </c>
      <c r="K38" s="32">
        <v>12</v>
      </c>
      <c r="L38" s="32">
        <v>1</v>
      </c>
      <c r="M38" s="32"/>
    </row>
    <row r="39" spans="1:13">
      <c r="A39" s="34">
        <f t="shared" si="1"/>
        <v>38</v>
      </c>
      <c r="B39" s="34" t="s">
        <v>53</v>
      </c>
      <c r="C39" s="34" t="s">
        <v>19</v>
      </c>
      <c r="D39" s="34" t="s">
        <v>20</v>
      </c>
      <c r="E39" s="34" t="str">
        <f>Table1[[#This Row],[Merkki]] &amp; " " &amp; Table1[[#This Row],[Malli]]</f>
        <v>Honor X6a</v>
      </c>
      <c r="F39" s="34" t="str">
        <f>Table1[[#This Row],[Liike]] &amp; " " &amp; Table1[[#This Row],[Merkki ja malli]]</f>
        <v>Handleit Honor X6a</v>
      </c>
      <c r="G39" s="16" t="s">
        <v>4</v>
      </c>
      <c r="H39" s="35">
        <v>39</v>
      </c>
      <c r="I39" s="35" cm="1">
        <f t="array" ref="I39">_xlfn.XLOOKUP(Table1[[#This Row],[Malli]],'Puhelin tuotehinta'!$B$2:$B$49,_xlfn.XLOOKUP(Table1[[#This Row],[Tuote]],'Puhelin tuotehinta'!$C$1:$E$1,'Puhelin tuotehinta'!$C$2:$E$49))</f>
        <v>19</v>
      </c>
      <c r="J39" s="35">
        <f>_xlfn.XLOOKUP(Table1[[#This Row],[Malli]],Table3[Model],Table3[Average Price (EUR)])</f>
        <v>117</v>
      </c>
      <c r="K39" s="32">
        <v>6</v>
      </c>
      <c r="L39" s="32">
        <v>1</v>
      </c>
      <c r="M39" s="32"/>
    </row>
    <row r="40" spans="1:13">
      <c r="A40" s="34">
        <f t="shared" si="1"/>
        <v>39</v>
      </c>
      <c r="B40" s="34" t="s">
        <v>53</v>
      </c>
      <c r="C40" s="34" t="s">
        <v>19</v>
      </c>
      <c r="D40" s="34" t="s">
        <v>20</v>
      </c>
      <c r="E40" s="34" t="str">
        <f>Table1[[#This Row],[Merkki]] &amp; " " &amp; Table1[[#This Row],[Malli]]</f>
        <v>Honor X6a</v>
      </c>
      <c r="F40" s="34" t="str">
        <f>Table1[[#This Row],[Liike]] &amp; " " &amp; Table1[[#This Row],[Merkki ja malli]]</f>
        <v>Handleit Honor X6a</v>
      </c>
      <c r="G40" s="16" t="s">
        <v>21</v>
      </c>
      <c r="H40" s="35"/>
      <c r="I40" s="35" cm="1">
        <f t="array" ref="I40">_xlfn.XLOOKUP(Table1[[#This Row],[Malli]],'Puhelin tuotehinta'!$B$2:$B$49,_xlfn.XLOOKUP(Table1[[#This Row],[Tuote]],'Puhelin tuotehinta'!$C$1:$E$1,'Puhelin tuotehinta'!$C$2:$E$49))</f>
        <v>23</v>
      </c>
      <c r="J40" s="35">
        <f>_xlfn.XLOOKUP(Table1[[#This Row],[Malli]],Table3[Model],Table3[Average Price (EUR)])</f>
        <v>117</v>
      </c>
      <c r="K40" s="32">
        <v>12</v>
      </c>
      <c r="L40" s="32">
        <v>2</v>
      </c>
      <c r="M40" s="32"/>
    </row>
    <row r="41" spans="1:13">
      <c r="A41" s="34">
        <f t="shared" si="1"/>
        <v>40</v>
      </c>
      <c r="B41" s="34" t="s">
        <v>53</v>
      </c>
      <c r="C41" s="34" t="s">
        <v>17</v>
      </c>
      <c r="D41" s="34" t="s">
        <v>13</v>
      </c>
      <c r="E41" s="34" t="str">
        <f>Table1[[#This Row],[Merkki]] &amp; " " &amp; Table1[[#This Row],[Malli]]</f>
        <v>OnePlus 12 5G</v>
      </c>
      <c r="F41" s="34" t="str">
        <f>Table1[[#This Row],[Liike]] &amp; " " &amp; Table1[[#This Row],[Merkki ja malli]]</f>
        <v>Handleit OnePlus 12 5G</v>
      </c>
      <c r="G41" s="16" t="s">
        <v>26</v>
      </c>
      <c r="H41" s="35">
        <v>384</v>
      </c>
      <c r="I41" s="35" cm="1">
        <f t="array" ref="I41">_xlfn.XLOOKUP(Table1[[#This Row],[Malli]],'Puhelin tuotehinta'!$B$2:$B$49,_xlfn.XLOOKUP(Table1[[#This Row],[Tuote]],'Puhelin tuotehinta'!$C$1:$E$1,'Puhelin tuotehinta'!$C$2:$E$49))</f>
        <v>176</v>
      </c>
      <c r="J41" s="35">
        <f>_xlfn.XLOOKUP(Table1[[#This Row],[Malli]],Table3[Model],Table3[Average Price (EUR)])</f>
        <v>649</v>
      </c>
      <c r="K41" s="32">
        <v>12</v>
      </c>
      <c r="L41" s="32">
        <v>1</v>
      </c>
      <c r="M41" s="32"/>
    </row>
    <row r="42" spans="1:13">
      <c r="A42" s="34">
        <f t="shared" si="1"/>
        <v>41</v>
      </c>
      <c r="B42" s="34" t="s">
        <v>53</v>
      </c>
      <c r="C42" s="34" t="s">
        <v>17</v>
      </c>
      <c r="D42" s="34" t="s">
        <v>13</v>
      </c>
      <c r="E42" s="34" t="str">
        <f>Table1[[#This Row],[Merkki]] &amp; " " &amp; Table1[[#This Row],[Malli]]</f>
        <v>OnePlus 12 5G</v>
      </c>
      <c r="F42" s="34" t="str">
        <f>Table1[[#This Row],[Liike]] &amp; " " &amp; Table1[[#This Row],[Merkki ja malli]]</f>
        <v>Handleit OnePlus 12 5G</v>
      </c>
      <c r="G42" s="16" t="s">
        <v>4</v>
      </c>
      <c r="H42" s="35">
        <v>79</v>
      </c>
      <c r="I42" s="35" cm="1">
        <f t="array" ref="I42">_xlfn.XLOOKUP(Table1[[#This Row],[Malli]],'Puhelin tuotehinta'!$B$2:$B$49,_xlfn.XLOOKUP(Table1[[#This Row],[Tuote]],'Puhelin tuotehinta'!$C$1:$E$1,'Puhelin tuotehinta'!$C$2:$E$49))</f>
        <v>14</v>
      </c>
      <c r="J42" s="35">
        <f>_xlfn.XLOOKUP(Table1[[#This Row],[Malli]],Table3[Model],Table3[Average Price (EUR)])</f>
        <v>649</v>
      </c>
      <c r="K42" s="32">
        <v>6</v>
      </c>
      <c r="L42" s="32">
        <v>1</v>
      </c>
      <c r="M42" s="32"/>
    </row>
    <row r="43" spans="1:13">
      <c r="A43" s="34">
        <f t="shared" si="1"/>
        <v>42</v>
      </c>
      <c r="B43" s="34" t="s">
        <v>53</v>
      </c>
      <c r="C43" s="34" t="s">
        <v>17</v>
      </c>
      <c r="D43" s="34" t="s">
        <v>13</v>
      </c>
      <c r="E43" s="34" t="str">
        <f>Table1[[#This Row],[Merkki]] &amp; " " &amp; Table1[[#This Row],[Malli]]</f>
        <v>OnePlus 12 5G</v>
      </c>
      <c r="F43" s="34" t="str">
        <f>Table1[[#This Row],[Liike]] &amp; " " &amp; Table1[[#This Row],[Merkki ja malli]]</f>
        <v>Handleit OnePlus 12 5G</v>
      </c>
      <c r="G43" s="16" t="s">
        <v>21</v>
      </c>
      <c r="H43" s="35"/>
      <c r="I43" s="35" cm="1">
        <f t="array" ref="I43">_xlfn.XLOOKUP(Table1[[#This Row],[Malli]],'Puhelin tuotehinta'!$B$2:$B$49,_xlfn.XLOOKUP(Table1[[#This Row],[Tuote]],'Puhelin tuotehinta'!$C$1:$E$1,'Puhelin tuotehinta'!$C$2:$E$49))</f>
        <v>15</v>
      </c>
      <c r="J43" s="35">
        <f>_xlfn.XLOOKUP(Table1[[#This Row],[Malli]],Table3[Model],Table3[Average Price (EUR)])</f>
        <v>649</v>
      </c>
      <c r="K43" s="32">
        <v>12</v>
      </c>
      <c r="L43" s="32">
        <v>2</v>
      </c>
      <c r="M43" s="32"/>
    </row>
    <row r="44" spans="1:13">
      <c r="A44" s="34">
        <f t="shared" si="1"/>
        <v>43</v>
      </c>
      <c r="B44" s="34" t="s">
        <v>53</v>
      </c>
      <c r="C44" s="34" t="s">
        <v>17</v>
      </c>
      <c r="D44" s="34" t="s">
        <v>12</v>
      </c>
      <c r="E44" s="34" t="str">
        <f>Table1[[#This Row],[Merkki]] &amp; " " &amp; Table1[[#This Row],[Malli]]</f>
        <v>OnePlus Nord CE 3 Lite 5G</v>
      </c>
      <c r="F44" s="34" t="str">
        <f>Table1[[#This Row],[Liike]] &amp; " " &amp; Table1[[#This Row],[Merkki ja malli]]</f>
        <v>Handleit OnePlus Nord CE 3 Lite 5G</v>
      </c>
      <c r="G44" s="16" t="s">
        <v>26</v>
      </c>
      <c r="H44" s="35">
        <v>159</v>
      </c>
      <c r="I44" s="35" cm="1">
        <f t="array" ref="I44">_xlfn.XLOOKUP(Table1[[#This Row],[Malli]],'Puhelin tuotehinta'!$B$2:$B$49,_xlfn.XLOOKUP(Table1[[#This Row],[Tuote]],'Puhelin tuotehinta'!$C$1:$E$1,'Puhelin tuotehinta'!$C$2:$E$49))</f>
        <v>40</v>
      </c>
      <c r="J44" s="35">
        <f>_xlfn.XLOOKUP(Table1[[#This Row],[Malli]],Table3[Model],Table3[Average Price (EUR)])</f>
        <v>249</v>
      </c>
      <c r="K44" s="32">
        <v>12</v>
      </c>
      <c r="L44" s="32">
        <v>1</v>
      </c>
      <c r="M44" s="32"/>
    </row>
    <row r="45" spans="1:13">
      <c r="A45" s="34">
        <f t="shared" si="1"/>
        <v>44</v>
      </c>
      <c r="B45" s="34" t="s">
        <v>53</v>
      </c>
      <c r="C45" s="34" t="s">
        <v>17</v>
      </c>
      <c r="D45" s="34" t="s">
        <v>12</v>
      </c>
      <c r="E45" s="34" t="str">
        <f>Table1[[#This Row],[Merkki]] &amp; " " &amp; Table1[[#This Row],[Malli]]</f>
        <v>OnePlus Nord CE 3 Lite 5G</v>
      </c>
      <c r="F45" s="34" t="str">
        <f>Table1[[#This Row],[Liike]] &amp; " " &amp; Table1[[#This Row],[Merkki ja malli]]</f>
        <v>Handleit OnePlus Nord CE 3 Lite 5G</v>
      </c>
      <c r="G45" s="16" t="s">
        <v>4</v>
      </c>
      <c r="H45" s="35">
        <v>79</v>
      </c>
      <c r="I45" s="35" cm="1">
        <f t="array" ref="I45">_xlfn.XLOOKUP(Table1[[#This Row],[Malli]],'Puhelin tuotehinta'!$B$2:$B$49,_xlfn.XLOOKUP(Table1[[#This Row],[Tuote]],'Puhelin tuotehinta'!$C$1:$E$1,'Puhelin tuotehinta'!$C$2:$E$49))</f>
        <v>10</v>
      </c>
      <c r="J45" s="35">
        <f>_xlfn.XLOOKUP(Table1[[#This Row],[Malli]],Table3[Model],Table3[Average Price (EUR)])</f>
        <v>249</v>
      </c>
      <c r="K45" s="32">
        <v>6</v>
      </c>
      <c r="L45" s="32">
        <v>1</v>
      </c>
      <c r="M45" s="32"/>
    </row>
    <row r="46" spans="1:13" ht="16.5" customHeight="1">
      <c r="A46" s="34">
        <f t="shared" si="1"/>
        <v>45</v>
      </c>
      <c r="B46" s="34" t="s">
        <v>53</v>
      </c>
      <c r="C46" s="34" t="s">
        <v>17</v>
      </c>
      <c r="D46" s="34" t="s">
        <v>12</v>
      </c>
      <c r="E46" s="34" t="str">
        <f>Table1[[#This Row],[Merkki]] &amp; " " &amp; Table1[[#This Row],[Malli]]</f>
        <v>OnePlus Nord CE 3 Lite 5G</v>
      </c>
      <c r="F46" s="34" t="str">
        <f>Table1[[#This Row],[Liike]] &amp; " " &amp; Table1[[#This Row],[Merkki ja malli]]</f>
        <v>Handleit OnePlus Nord CE 3 Lite 5G</v>
      </c>
      <c r="G46" s="16" t="s">
        <v>21</v>
      </c>
      <c r="H46" s="35"/>
      <c r="I46" s="35" cm="1">
        <f t="array" ref="I46">_xlfn.XLOOKUP(Table1[[#This Row],[Malli]],'Puhelin tuotehinta'!$B$2:$B$49,_xlfn.XLOOKUP(Table1[[#This Row],[Tuote]],'Puhelin tuotehinta'!$C$1:$E$1,'Puhelin tuotehinta'!$C$2:$E$49))</f>
        <v>15</v>
      </c>
      <c r="J46" s="35">
        <f>_xlfn.XLOOKUP(Table1[[#This Row],[Malli]],Table3[Model],Table3[Average Price (EUR)])</f>
        <v>249</v>
      </c>
      <c r="K46" s="32">
        <v>12</v>
      </c>
      <c r="L46" s="32">
        <v>2</v>
      </c>
      <c r="M46" s="32"/>
    </row>
    <row r="47" spans="1:13">
      <c r="A47" s="34">
        <f t="shared" si="1"/>
        <v>46</v>
      </c>
      <c r="B47" s="34" t="s">
        <v>53</v>
      </c>
      <c r="C47" s="34" t="s">
        <v>17</v>
      </c>
      <c r="D47" s="34" t="s">
        <v>18</v>
      </c>
      <c r="E47" s="34" t="str">
        <f>Table1[[#This Row],[Merkki]] &amp; " " &amp; Table1[[#This Row],[Malli]]</f>
        <v>OnePlus Nord CE4 Lite 5G</v>
      </c>
      <c r="F47" s="34" t="str">
        <f>Table1[[#This Row],[Liike]] &amp; " " &amp; Table1[[#This Row],[Merkki ja malli]]</f>
        <v>Handleit OnePlus Nord CE4 Lite 5G</v>
      </c>
      <c r="G47" s="16" t="s">
        <v>26</v>
      </c>
      <c r="H47" s="35"/>
      <c r="I47" s="35" cm="1">
        <f t="array" ref="I47">_xlfn.XLOOKUP(Table1[[#This Row],[Malli]],'Puhelin tuotehinta'!$B$2:$B$49,_xlfn.XLOOKUP(Table1[[#This Row],[Tuote]],'Puhelin tuotehinta'!$C$1:$E$1,'Puhelin tuotehinta'!$C$2:$E$49))</f>
        <v>88</v>
      </c>
      <c r="J47" s="35">
        <f>_xlfn.XLOOKUP(Table1[[#This Row],[Malli]],Table3[Model],Table3[Average Price (EUR)])</f>
        <v>179</v>
      </c>
      <c r="K47" s="32">
        <v>12</v>
      </c>
      <c r="L47" s="32">
        <v>1</v>
      </c>
      <c r="M47" s="32"/>
    </row>
    <row r="48" spans="1:13">
      <c r="A48" s="34">
        <f t="shared" si="1"/>
        <v>47</v>
      </c>
      <c r="B48" s="34" t="s">
        <v>53</v>
      </c>
      <c r="C48" s="34" t="s">
        <v>17</v>
      </c>
      <c r="D48" s="34" t="s">
        <v>18</v>
      </c>
      <c r="E48" s="34" t="str">
        <f>Table1[[#This Row],[Merkki]] &amp; " " &amp; Table1[[#This Row],[Malli]]</f>
        <v>OnePlus Nord CE4 Lite 5G</v>
      </c>
      <c r="F48" s="34" t="str">
        <f>Table1[[#This Row],[Liike]] &amp; " " &amp; Table1[[#This Row],[Merkki ja malli]]</f>
        <v>Handleit OnePlus Nord CE4 Lite 5G</v>
      </c>
      <c r="G48" s="16" t="s">
        <v>4</v>
      </c>
      <c r="H48" s="35"/>
      <c r="I48" s="35" cm="1">
        <f t="array" ref="I48">_xlfn.XLOOKUP(Table1[[#This Row],[Malli]],'Puhelin tuotehinta'!$B$2:$B$49,_xlfn.XLOOKUP(Table1[[#This Row],[Tuote]],'Puhelin tuotehinta'!$C$1:$E$1,'Puhelin tuotehinta'!$C$2:$E$49))</f>
        <v>12</v>
      </c>
      <c r="J48" s="35">
        <f>_xlfn.XLOOKUP(Table1[[#This Row],[Malli]],Table3[Model],Table3[Average Price (EUR)])</f>
        <v>179</v>
      </c>
      <c r="K48" s="32">
        <v>6</v>
      </c>
      <c r="L48" s="32">
        <v>1</v>
      </c>
      <c r="M48" s="32"/>
    </row>
    <row r="49" spans="1:13">
      <c r="A49" s="34">
        <f t="shared" si="1"/>
        <v>48</v>
      </c>
      <c r="B49" s="34" t="s">
        <v>53</v>
      </c>
      <c r="C49" s="34" t="s">
        <v>17</v>
      </c>
      <c r="D49" s="34" t="s">
        <v>18</v>
      </c>
      <c r="E49" s="34" t="str">
        <f>Table1[[#This Row],[Merkki]] &amp; " " &amp; Table1[[#This Row],[Malli]]</f>
        <v>OnePlus Nord CE4 Lite 5G</v>
      </c>
      <c r="F49" s="34" t="str">
        <f>Table1[[#This Row],[Liike]] &amp; " " &amp; Table1[[#This Row],[Merkki ja malli]]</f>
        <v>Handleit OnePlus Nord CE4 Lite 5G</v>
      </c>
      <c r="G49" s="16" t="s">
        <v>21</v>
      </c>
      <c r="H49" s="35"/>
      <c r="I49" s="35" cm="1">
        <f t="array" ref="I49">_xlfn.XLOOKUP(Table1[[#This Row],[Malli]],'Puhelin tuotehinta'!$B$2:$B$49,_xlfn.XLOOKUP(Table1[[#This Row],[Tuote]],'Puhelin tuotehinta'!$C$1:$E$1,'Puhelin tuotehinta'!$C$2:$E$49))</f>
        <v>15</v>
      </c>
      <c r="J49" s="35">
        <f>_xlfn.XLOOKUP(Table1[[#This Row],[Malli]],Table3[Model],Table3[Average Price (EUR)])</f>
        <v>179</v>
      </c>
      <c r="K49" s="32">
        <v>12</v>
      </c>
      <c r="L49" s="32">
        <v>2</v>
      </c>
      <c r="M49" s="32"/>
    </row>
    <row r="50" spans="1:13">
      <c r="A50" s="34">
        <f t="shared" si="1"/>
        <v>49</v>
      </c>
      <c r="B50" s="34" t="s">
        <v>53</v>
      </c>
      <c r="C50" s="34" t="s">
        <v>11</v>
      </c>
      <c r="D50" s="34" t="s">
        <v>10</v>
      </c>
      <c r="E50" s="34" t="str">
        <f>Table1[[#This Row],[Merkki]] &amp; " " &amp; Table1[[#This Row],[Malli]]</f>
        <v>Oppo A18</v>
      </c>
      <c r="F50" s="34" t="str">
        <f>Table1[[#This Row],[Liike]] &amp; " " &amp; Table1[[#This Row],[Merkki ja malli]]</f>
        <v>Handleit Oppo A18</v>
      </c>
      <c r="G50" s="16" t="s">
        <v>26</v>
      </c>
      <c r="H50" s="35"/>
      <c r="I50" s="35" cm="1">
        <f t="array" ref="I50">_xlfn.XLOOKUP(Table1[[#This Row],[Malli]],'Puhelin tuotehinta'!$B$2:$B$49,_xlfn.XLOOKUP(Table1[[#This Row],[Tuote]],'Puhelin tuotehinta'!$C$1:$E$1,'Puhelin tuotehinta'!$C$2:$E$49))</f>
        <v>16</v>
      </c>
      <c r="J50" s="35">
        <f>_xlfn.XLOOKUP(Table1[[#This Row],[Malli]],Table3[Model],Table3[Average Price (EUR)])</f>
        <v>79</v>
      </c>
      <c r="K50" s="32">
        <v>12</v>
      </c>
      <c r="L50" s="32">
        <v>1</v>
      </c>
      <c r="M50" s="32"/>
    </row>
    <row r="51" spans="1:13">
      <c r="A51" s="34">
        <f t="shared" si="1"/>
        <v>50</v>
      </c>
      <c r="B51" s="34" t="s">
        <v>53</v>
      </c>
      <c r="C51" s="34" t="s">
        <v>11</v>
      </c>
      <c r="D51" s="34" t="s">
        <v>10</v>
      </c>
      <c r="E51" s="34" t="str">
        <f>Table1[[#This Row],[Merkki]] &amp; " " &amp; Table1[[#This Row],[Malli]]</f>
        <v>Oppo A18</v>
      </c>
      <c r="F51" s="34" t="str">
        <f>Table1[[#This Row],[Liike]] &amp; " " &amp; Table1[[#This Row],[Merkki ja malli]]</f>
        <v>Handleit Oppo A18</v>
      </c>
      <c r="G51" s="16" t="s">
        <v>4</v>
      </c>
      <c r="H51" s="35"/>
      <c r="I51" s="35" cm="1">
        <f t="array" ref="I51">_xlfn.XLOOKUP(Table1[[#This Row],[Malli]],'Puhelin tuotehinta'!$B$2:$B$49,_xlfn.XLOOKUP(Table1[[#This Row],[Tuote]],'Puhelin tuotehinta'!$C$1:$E$1,'Puhelin tuotehinta'!$C$2:$E$49))</f>
        <v>17</v>
      </c>
      <c r="J51" s="35">
        <f>_xlfn.XLOOKUP(Table1[[#This Row],[Malli]],Table3[Model],Table3[Average Price (EUR)])</f>
        <v>79</v>
      </c>
      <c r="K51" s="32">
        <v>6</v>
      </c>
      <c r="L51" s="32">
        <v>1</v>
      </c>
      <c r="M51" s="32"/>
    </row>
    <row r="52" spans="1:13">
      <c r="A52" s="34">
        <f t="shared" si="1"/>
        <v>51</v>
      </c>
      <c r="B52" s="34" t="s">
        <v>53</v>
      </c>
      <c r="C52" s="34" t="s">
        <v>11</v>
      </c>
      <c r="D52" s="34" t="s">
        <v>10</v>
      </c>
      <c r="E52" s="34" t="str">
        <f>Table1[[#This Row],[Merkki]] &amp; " " &amp; Table1[[#This Row],[Malli]]</f>
        <v>Oppo A18</v>
      </c>
      <c r="F52" s="34" t="str">
        <f>Table1[[#This Row],[Liike]] &amp; " " &amp; Table1[[#This Row],[Merkki ja malli]]</f>
        <v>Handleit Oppo A18</v>
      </c>
      <c r="G52" s="16" t="s">
        <v>21</v>
      </c>
      <c r="H52" s="35"/>
      <c r="I52" s="35" cm="1">
        <f t="array" ref="I52">_xlfn.XLOOKUP(Table1[[#This Row],[Malli]],'Puhelin tuotehinta'!$B$2:$B$49,_xlfn.XLOOKUP(Table1[[#This Row],[Tuote]],'Puhelin tuotehinta'!$C$1:$E$1,'Puhelin tuotehinta'!$C$2:$E$49))</f>
        <v>17</v>
      </c>
      <c r="J52" s="35">
        <f>_xlfn.XLOOKUP(Table1[[#This Row],[Malli]],Table3[Model],Table3[Average Price (EUR)])</f>
        <v>79</v>
      </c>
      <c r="K52" s="32">
        <v>12</v>
      </c>
      <c r="L52" s="32">
        <v>2</v>
      </c>
      <c r="M52" s="32"/>
    </row>
    <row r="53" spans="1:13">
      <c r="A53" s="34">
        <f t="shared" si="1"/>
        <v>52</v>
      </c>
      <c r="B53" s="34" t="s">
        <v>53</v>
      </c>
      <c r="C53" s="34" t="s">
        <v>3</v>
      </c>
      <c r="D53" s="34" t="s">
        <v>14</v>
      </c>
      <c r="E53" s="34" t="str">
        <f>Table1[[#This Row],[Merkki]] &amp; " " &amp; Table1[[#This Row],[Malli]]</f>
        <v>Samsung Galaxy A15 5G</v>
      </c>
      <c r="F53" s="34" t="str">
        <f>Table1[[#This Row],[Liike]] &amp; " " &amp; Table1[[#This Row],[Merkki ja malli]]</f>
        <v>Handleit Samsung Galaxy A15 5G</v>
      </c>
      <c r="G53" s="16" t="s">
        <v>26</v>
      </c>
      <c r="H53" s="35">
        <v>99</v>
      </c>
      <c r="I53" s="35" cm="1">
        <f t="array" ref="I53">_xlfn.XLOOKUP(Table1[[#This Row],[Malli]],'Puhelin tuotehinta'!$B$2:$B$49,_xlfn.XLOOKUP(Table1[[#This Row],[Tuote]],'Puhelin tuotehinta'!$C$1:$E$1,'Puhelin tuotehinta'!$C$2:$E$49))</f>
        <v>27</v>
      </c>
      <c r="J53" s="35">
        <f>_xlfn.XLOOKUP(Table1[[#This Row],[Malli]],Table3[Model],Table3[Average Price (EUR)])</f>
        <v>129</v>
      </c>
      <c r="K53" s="32">
        <v>12</v>
      </c>
      <c r="L53" s="32">
        <v>1</v>
      </c>
      <c r="M53" s="32"/>
    </row>
    <row r="54" spans="1:13">
      <c r="A54" s="34">
        <f t="shared" si="1"/>
        <v>53</v>
      </c>
      <c r="B54" s="34" t="s">
        <v>53</v>
      </c>
      <c r="C54" s="34" t="s">
        <v>3</v>
      </c>
      <c r="D54" s="34" t="s">
        <v>14</v>
      </c>
      <c r="E54" s="34" t="str">
        <f>Table1[[#This Row],[Merkki]] &amp; " " &amp; Table1[[#This Row],[Malli]]</f>
        <v>Samsung Galaxy A15 5G</v>
      </c>
      <c r="F54" s="34" t="str">
        <f>Table1[[#This Row],[Liike]] &amp; " " &amp; Table1[[#This Row],[Merkki ja malli]]</f>
        <v>Handleit Samsung Galaxy A15 5G</v>
      </c>
      <c r="G54" s="16" t="s">
        <v>4</v>
      </c>
      <c r="H54" s="35">
        <v>59</v>
      </c>
      <c r="I54" s="35" cm="1">
        <f t="array" ref="I54">_xlfn.XLOOKUP(Table1[[#This Row],[Malli]],'Puhelin tuotehinta'!$B$2:$B$49,_xlfn.XLOOKUP(Table1[[#This Row],[Tuote]],'Puhelin tuotehinta'!$C$1:$E$1,'Puhelin tuotehinta'!$C$2:$E$49))</f>
        <v>18</v>
      </c>
      <c r="J54" s="35">
        <f>_xlfn.XLOOKUP(Table1[[#This Row],[Malli]],Table3[Model],Table3[Average Price (EUR)])</f>
        <v>129</v>
      </c>
      <c r="K54" s="32">
        <v>6</v>
      </c>
      <c r="L54" s="32">
        <v>1</v>
      </c>
      <c r="M54" s="32"/>
    </row>
    <row r="55" spans="1:13">
      <c r="A55" s="34">
        <f t="shared" si="1"/>
        <v>54</v>
      </c>
      <c r="B55" s="34" t="s">
        <v>53</v>
      </c>
      <c r="C55" s="34" t="s">
        <v>3</v>
      </c>
      <c r="D55" s="34" t="s">
        <v>14</v>
      </c>
      <c r="E55" s="34" t="str">
        <f>Table1[[#This Row],[Merkki]] &amp; " " &amp; Table1[[#This Row],[Malli]]</f>
        <v>Samsung Galaxy A15 5G</v>
      </c>
      <c r="F55" s="34" t="str">
        <f>Table1[[#This Row],[Liike]] &amp; " " &amp; Table1[[#This Row],[Merkki ja malli]]</f>
        <v>Handleit Samsung Galaxy A15 5G</v>
      </c>
      <c r="G55" s="16" t="s">
        <v>21</v>
      </c>
      <c r="H55" s="35">
        <v>59</v>
      </c>
      <c r="I55" s="35" cm="1">
        <f t="array" ref="I55">_xlfn.XLOOKUP(Table1[[#This Row],[Malli]],'Puhelin tuotehinta'!$B$2:$B$49,_xlfn.XLOOKUP(Table1[[#This Row],[Tuote]],'Puhelin tuotehinta'!$C$1:$E$1,'Puhelin tuotehinta'!$C$2:$E$49))</f>
        <v>11</v>
      </c>
      <c r="J55" s="35">
        <f>_xlfn.XLOOKUP(Table1[[#This Row],[Malli]],Table3[Model],Table3[Average Price (EUR)])</f>
        <v>129</v>
      </c>
      <c r="K55" s="32">
        <v>12</v>
      </c>
      <c r="L55" s="32">
        <v>2</v>
      </c>
      <c r="M55" s="32"/>
    </row>
    <row r="56" spans="1:13">
      <c r="A56" s="34">
        <f t="shared" si="1"/>
        <v>55</v>
      </c>
      <c r="B56" s="34" t="s">
        <v>53</v>
      </c>
      <c r="C56" s="34" t="s">
        <v>3</v>
      </c>
      <c r="D56" s="34" t="s">
        <v>16</v>
      </c>
      <c r="E56" s="34" t="str">
        <f>Table1[[#This Row],[Merkki]] &amp; " " &amp; Table1[[#This Row],[Malli]]</f>
        <v>Samsung Galaxy A25 5G</v>
      </c>
      <c r="F56" s="34" t="str">
        <f>Table1[[#This Row],[Liike]] &amp; " " &amp; Table1[[#This Row],[Merkki ja malli]]</f>
        <v>Handleit Samsung Galaxy A25 5G</v>
      </c>
      <c r="G56" s="16" t="s">
        <v>26</v>
      </c>
      <c r="H56" s="35">
        <v>119</v>
      </c>
      <c r="I56" s="35" cm="1">
        <f t="array" ref="I56">_xlfn.XLOOKUP(Table1[[#This Row],[Malli]],'Puhelin tuotehinta'!$B$2:$B$49,_xlfn.XLOOKUP(Table1[[#This Row],[Tuote]],'Puhelin tuotehinta'!$C$1:$E$1,'Puhelin tuotehinta'!$C$2:$E$49))</f>
        <v>49</v>
      </c>
      <c r="J56" s="35">
        <f>_xlfn.XLOOKUP(Table1[[#This Row],[Malli]],Table3[Model],Table3[Average Price (EUR)])</f>
        <v>169</v>
      </c>
      <c r="K56" s="32">
        <v>12</v>
      </c>
      <c r="L56" s="32">
        <v>1</v>
      </c>
      <c r="M56" s="32"/>
    </row>
    <row r="57" spans="1:13">
      <c r="A57" s="34">
        <f t="shared" si="1"/>
        <v>56</v>
      </c>
      <c r="B57" s="34" t="s">
        <v>53</v>
      </c>
      <c r="C57" s="34" t="s">
        <v>3</v>
      </c>
      <c r="D57" s="34" t="s">
        <v>16</v>
      </c>
      <c r="E57" s="34" t="str">
        <f>Table1[[#This Row],[Merkki]] &amp; " " &amp; Table1[[#This Row],[Malli]]</f>
        <v>Samsung Galaxy A25 5G</v>
      </c>
      <c r="F57" s="34" t="str">
        <f>Table1[[#This Row],[Liike]] &amp; " " &amp; Table1[[#This Row],[Merkki ja malli]]</f>
        <v>Handleit Samsung Galaxy A25 5G</v>
      </c>
      <c r="G57" s="16" t="s">
        <v>4</v>
      </c>
      <c r="H57" s="35">
        <v>59</v>
      </c>
      <c r="I57" s="35" cm="1">
        <f t="array" ref="I57">_xlfn.XLOOKUP(Table1[[#This Row],[Malli]],'Puhelin tuotehinta'!$B$2:$B$49,_xlfn.XLOOKUP(Table1[[#This Row],[Tuote]],'Puhelin tuotehinta'!$C$1:$E$1,'Puhelin tuotehinta'!$C$2:$E$49))</f>
        <v>10</v>
      </c>
      <c r="J57" s="35">
        <f>_xlfn.XLOOKUP(Table1[[#This Row],[Malli]],Table3[Model],Table3[Average Price (EUR)])</f>
        <v>169</v>
      </c>
      <c r="K57" s="32">
        <v>6</v>
      </c>
      <c r="L57" s="32">
        <v>1</v>
      </c>
      <c r="M57" s="32"/>
    </row>
    <row r="58" spans="1:13">
      <c r="A58" s="34">
        <f t="shared" si="1"/>
        <v>57</v>
      </c>
      <c r="B58" s="34" t="s">
        <v>53</v>
      </c>
      <c r="C58" s="34" t="s">
        <v>3</v>
      </c>
      <c r="D58" s="34" t="s">
        <v>16</v>
      </c>
      <c r="E58" s="34" t="str">
        <f>Table1[[#This Row],[Merkki]] &amp; " " &amp; Table1[[#This Row],[Malli]]</f>
        <v>Samsung Galaxy A25 5G</v>
      </c>
      <c r="F58" s="34" t="str">
        <f>Table1[[#This Row],[Liike]] &amp; " " &amp; Table1[[#This Row],[Merkki ja malli]]</f>
        <v>Handleit Samsung Galaxy A25 5G</v>
      </c>
      <c r="G58" s="16" t="s">
        <v>21</v>
      </c>
      <c r="H58" s="35">
        <v>59</v>
      </c>
      <c r="I58" s="35" cm="1">
        <f t="array" ref="I58">_xlfn.XLOOKUP(Table1[[#This Row],[Malli]],'Puhelin tuotehinta'!$B$2:$B$49,_xlfn.XLOOKUP(Table1[[#This Row],[Tuote]],'Puhelin tuotehinta'!$C$1:$E$1,'Puhelin tuotehinta'!$C$2:$E$49))</f>
        <v>18</v>
      </c>
      <c r="J58" s="35">
        <f>_xlfn.XLOOKUP(Table1[[#This Row],[Malli]],Table3[Model],Table3[Average Price (EUR)])</f>
        <v>169</v>
      </c>
      <c r="K58" s="32">
        <v>12</v>
      </c>
      <c r="L58" s="32">
        <v>2</v>
      </c>
      <c r="M58" s="32"/>
    </row>
    <row r="59" spans="1:13">
      <c r="A59" s="34">
        <f t="shared" si="1"/>
        <v>58</v>
      </c>
      <c r="B59" s="34" t="s">
        <v>53</v>
      </c>
      <c r="C59" s="34" t="s">
        <v>3</v>
      </c>
      <c r="D59" s="34" t="s">
        <v>15</v>
      </c>
      <c r="E59" s="34" t="str">
        <f>Table1[[#This Row],[Merkki]] &amp; " " &amp; Table1[[#This Row],[Malli]]</f>
        <v>Samsung Galaxy A55 5G</v>
      </c>
      <c r="F59" s="34" t="str">
        <f>Table1[[#This Row],[Liike]] &amp; " " &amp; Table1[[#This Row],[Merkki ja malli]]</f>
        <v>Handleit Samsung Galaxy A55 5G</v>
      </c>
      <c r="G59" s="16" t="s">
        <v>26</v>
      </c>
      <c r="H59" s="35">
        <v>159</v>
      </c>
      <c r="I59" s="35" cm="1">
        <f t="array" ref="I59">_xlfn.XLOOKUP(Table1[[#This Row],[Malli]],'Puhelin tuotehinta'!$B$2:$B$49,_xlfn.XLOOKUP(Table1[[#This Row],[Tuote]],'Puhelin tuotehinta'!$C$1:$E$1,'Puhelin tuotehinta'!$C$2:$E$49))</f>
        <v>66</v>
      </c>
      <c r="J59" s="35">
        <f>_xlfn.XLOOKUP(Table1[[#This Row],[Malli]],Table3[Model],Table3[Average Price (EUR)])</f>
        <v>299</v>
      </c>
      <c r="K59" s="32">
        <v>12</v>
      </c>
      <c r="L59" s="32">
        <v>1</v>
      </c>
      <c r="M59" s="32"/>
    </row>
    <row r="60" spans="1:13">
      <c r="A60" s="34">
        <f t="shared" si="1"/>
        <v>59</v>
      </c>
      <c r="B60" s="34" t="s">
        <v>53</v>
      </c>
      <c r="C60" s="34" t="s">
        <v>3</v>
      </c>
      <c r="D60" s="34" t="s">
        <v>15</v>
      </c>
      <c r="E60" s="34" t="str">
        <f>Table1[[#This Row],[Merkki]] &amp; " " &amp; Table1[[#This Row],[Malli]]</f>
        <v>Samsung Galaxy A55 5G</v>
      </c>
      <c r="F60" s="34" t="str">
        <f>Table1[[#This Row],[Liike]] &amp; " " &amp; Table1[[#This Row],[Merkki ja malli]]</f>
        <v>Handleit Samsung Galaxy A55 5G</v>
      </c>
      <c r="G60" s="16" t="s">
        <v>4</v>
      </c>
      <c r="H60" s="35">
        <v>69</v>
      </c>
      <c r="I60" s="35" cm="1">
        <f t="array" ref="I60">_xlfn.XLOOKUP(Table1[[#This Row],[Malli]],'Puhelin tuotehinta'!$B$2:$B$49,_xlfn.XLOOKUP(Table1[[#This Row],[Tuote]],'Puhelin tuotehinta'!$C$1:$E$1,'Puhelin tuotehinta'!$C$2:$E$49))</f>
        <v>25</v>
      </c>
      <c r="J60" s="35">
        <f>_xlfn.XLOOKUP(Table1[[#This Row],[Malli]],Table3[Model],Table3[Average Price (EUR)])</f>
        <v>299</v>
      </c>
      <c r="K60" s="32">
        <v>6</v>
      </c>
      <c r="L60" s="32">
        <v>1</v>
      </c>
      <c r="M60" s="32"/>
    </row>
    <row r="61" spans="1:13">
      <c r="A61" s="34">
        <f t="shared" si="1"/>
        <v>60</v>
      </c>
      <c r="B61" s="34" t="s">
        <v>53</v>
      </c>
      <c r="C61" s="34" t="s">
        <v>3</v>
      </c>
      <c r="D61" s="34" t="s">
        <v>15</v>
      </c>
      <c r="E61" s="34" t="str">
        <f>Table1[[#This Row],[Merkki]] &amp; " " &amp; Table1[[#This Row],[Malli]]</f>
        <v>Samsung Galaxy A55 5G</v>
      </c>
      <c r="F61" s="34" t="str">
        <f>Table1[[#This Row],[Liike]] &amp; " " &amp; Table1[[#This Row],[Merkki ja malli]]</f>
        <v>Handleit Samsung Galaxy A55 5G</v>
      </c>
      <c r="G61" s="16" t="s">
        <v>21</v>
      </c>
      <c r="H61" s="35">
        <v>59</v>
      </c>
      <c r="I61" s="35" cm="1">
        <f t="array" ref="I61">_xlfn.XLOOKUP(Table1[[#This Row],[Malli]],'Puhelin tuotehinta'!$B$2:$B$49,_xlfn.XLOOKUP(Table1[[#This Row],[Tuote]],'Puhelin tuotehinta'!$C$1:$E$1,'Puhelin tuotehinta'!$C$2:$E$49))</f>
        <v>28</v>
      </c>
      <c r="J61" s="35">
        <f>_xlfn.XLOOKUP(Table1[[#This Row],[Malli]],Table3[Model],Table3[Average Price (EUR)])</f>
        <v>299</v>
      </c>
      <c r="K61" s="32">
        <v>12</v>
      </c>
      <c r="L61" s="32">
        <v>2</v>
      </c>
      <c r="M61" s="32"/>
    </row>
    <row r="62" spans="1:13">
      <c r="A62" s="34">
        <f t="shared" si="1"/>
        <v>61</v>
      </c>
      <c r="B62" s="34" t="s">
        <v>43</v>
      </c>
      <c r="C62" s="34" t="s">
        <v>22</v>
      </c>
      <c r="D62" s="34" t="s">
        <v>23</v>
      </c>
      <c r="E62" s="34" t="str">
        <f>Table1[[#This Row],[Merkki]] &amp; " " &amp; Table1[[#This Row],[Malli]]</f>
        <v>Apple iPhone 13 5G</v>
      </c>
      <c r="F62" s="34" t="str">
        <f>Table1[[#This Row],[Liike]] &amp; " " &amp; Table1[[#This Row],[Merkki ja malli]]</f>
        <v>itapsa Apple iPhone 13 5G</v>
      </c>
      <c r="G62" s="16" t="s">
        <v>26</v>
      </c>
      <c r="H62" s="35">
        <v>199</v>
      </c>
      <c r="I62" s="35" cm="1">
        <f t="array" ref="I62">_xlfn.XLOOKUP(Table1[[#This Row],[Malli]],'Puhelin tuotehinta'!$B$2:$B$49,_xlfn.XLOOKUP(Table1[[#This Row],[Tuote]],'Puhelin tuotehinta'!$C$1:$E$1,'Puhelin tuotehinta'!$C$2:$E$49))</f>
        <v>181</v>
      </c>
      <c r="J62" s="35">
        <f>_xlfn.XLOOKUP(Table1[[#This Row],[Malli]],Table3[Model],Table3[Average Price (EUR)])</f>
        <v>479</v>
      </c>
      <c r="K62" s="32">
        <v>24</v>
      </c>
      <c r="L62" s="32">
        <v>2</v>
      </c>
      <c r="M62" s="32" t="b">
        <v>0</v>
      </c>
    </row>
    <row r="63" spans="1:13">
      <c r="A63" s="34">
        <f t="shared" si="1"/>
        <v>62</v>
      </c>
      <c r="B63" s="34" t="s">
        <v>43</v>
      </c>
      <c r="C63" s="34" t="s">
        <v>22</v>
      </c>
      <c r="D63" s="34" t="s">
        <v>23</v>
      </c>
      <c r="E63" s="34" t="str">
        <f>Table1[[#This Row],[Merkki]] &amp; " " &amp; Table1[[#This Row],[Malli]]</f>
        <v>Apple iPhone 13 5G</v>
      </c>
      <c r="F63" s="34" t="str">
        <f>Table1[[#This Row],[Liike]] &amp; " " &amp; Table1[[#This Row],[Merkki ja malli]]</f>
        <v>itapsa Apple iPhone 13 5G</v>
      </c>
      <c r="G63" s="16" t="s">
        <v>4</v>
      </c>
      <c r="H63" s="35">
        <v>79</v>
      </c>
      <c r="I63" s="35" cm="1">
        <f t="array" ref="I63">_xlfn.XLOOKUP(Table1[[#This Row],[Malli]],'Puhelin tuotehinta'!$B$2:$B$49,_xlfn.XLOOKUP(Table1[[#This Row],[Tuote]],'Puhelin tuotehinta'!$C$1:$E$1,'Puhelin tuotehinta'!$C$2:$E$49))</f>
        <v>27</v>
      </c>
      <c r="J63" s="35">
        <f>_xlfn.XLOOKUP(Table1[[#This Row],[Malli]],Table3[Model],Table3[Average Price (EUR)])</f>
        <v>479</v>
      </c>
      <c r="K63" s="32">
        <v>24</v>
      </c>
      <c r="L63" s="32">
        <v>2</v>
      </c>
      <c r="M63" s="32" t="b">
        <v>0</v>
      </c>
    </row>
    <row r="64" spans="1:13">
      <c r="A64" s="34">
        <f t="shared" si="1"/>
        <v>63</v>
      </c>
      <c r="B64" s="34" t="s">
        <v>43</v>
      </c>
      <c r="C64" s="34" t="s">
        <v>22</v>
      </c>
      <c r="D64" s="34" t="s">
        <v>23</v>
      </c>
      <c r="E64" s="34" t="str">
        <f>Table1[[#This Row],[Merkki]] &amp; " " &amp; Table1[[#This Row],[Malli]]</f>
        <v>Apple iPhone 13 5G</v>
      </c>
      <c r="F64" s="34" t="str">
        <f>Table1[[#This Row],[Liike]] &amp; " " &amp; Table1[[#This Row],[Merkki ja malli]]</f>
        <v>itapsa Apple iPhone 13 5G</v>
      </c>
      <c r="G64" s="16" t="s">
        <v>21</v>
      </c>
      <c r="H64" s="35">
        <v>99</v>
      </c>
      <c r="I64" s="35" cm="1">
        <f t="array" ref="I64">_xlfn.XLOOKUP(Table1[[#This Row],[Malli]],'Puhelin tuotehinta'!$B$2:$B$49,_xlfn.XLOOKUP(Table1[[#This Row],[Tuote]],'Puhelin tuotehinta'!$C$1:$E$1,'Puhelin tuotehinta'!$C$2:$E$49))</f>
        <v>21</v>
      </c>
      <c r="J64" s="35">
        <f>_xlfn.XLOOKUP(Table1[[#This Row],[Malli]],Table3[Model],Table3[Average Price (EUR)])</f>
        <v>479</v>
      </c>
      <c r="K64" s="32">
        <v>24</v>
      </c>
      <c r="L64" s="32">
        <v>2</v>
      </c>
      <c r="M64" s="32" t="b">
        <v>0</v>
      </c>
    </row>
    <row r="65" spans="1:13">
      <c r="A65" s="34">
        <f t="shared" si="1"/>
        <v>64</v>
      </c>
      <c r="B65" s="34" t="s">
        <v>43</v>
      </c>
      <c r="C65" s="34" t="s">
        <v>22</v>
      </c>
      <c r="D65" s="34" t="s">
        <v>24</v>
      </c>
      <c r="E65" s="34" t="str">
        <f>Table1[[#This Row],[Merkki]] &amp; " " &amp; Table1[[#This Row],[Malli]]</f>
        <v>Apple iPhone 15 Pro 5G</v>
      </c>
      <c r="F65" s="34" t="str">
        <f>Table1[[#This Row],[Liike]] &amp; " " &amp; Table1[[#This Row],[Merkki ja malli]]</f>
        <v>itapsa Apple iPhone 15 Pro 5G</v>
      </c>
      <c r="G65" s="16" t="s">
        <v>21</v>
      </c>
      <c r="H65" s="35">
        <v>109</v>
      </c>
      <c r="I65" s="35" cm="1">
        <f t="array" ref="I65">_xlfn.XLOOKUP(Table1[[#This Row],[Malli]],'Puhelin tuotehinta'!$B$2:$B$49,_xlfn.XLOOKUP(Table1[[#This Row],[Tuote]],'Puhelin tuotehinta'!$C$1:$E$1,'Puhelin tuotehinta'!$C$2:$E$49))</f>
        <v>38</v>
      </c>
      <c r="J65" s="35">
        <f>_xlfn.XLOOKUP(Table1[[#This Row],[Malli]],Table3[Model],Table3[Average Price (EUR)])</f>
        <v>1179</v>
      </c>
      <c r="K65" s="32">
        <v>24</v>
      </c>
      <c r="L65" s="32">
        <v>2</v>
      </c>
      <c r="M65" s="32" t="b">
        <v>0</v>
      </c>
    </row>
    <row r="66" spans="1:13">
      <c r="A66" s="34">
        <f t="shared" ref="A66:A97" si="2">ROW(A66) - 1</f>
        <v>65</v>
      </c>
      <c r="B66" s="34" t="s">
        <v>43</v>
      </c>
      <c r="C66" s="34" t="s">
        <v>22</v>
      </c>
      <c r="D66" s="34" t="s">
        <v>24</v>
      </c>
      <c r="E66" s="34" t="str">
        <f>Table1[[#This Row],[Merkki]] &amp; " " &amp; Table1[[#This Row],[Malli]]</f>
        <v>Apple iPhone 15 Pro 5G</v>
      </c>
      <c r="F66" s="34" t="str">
        <f>Table1[[#This Row],[Liike]] &amp; " " &amp; Table1[[#This Row],[Merkki ja malli]]</f>
        <v>itapsa Apple iPhone 15 Pro 5G</v>
      </c>
      <c r="G66" s="16" t="s">
        <v>26</v>
      </c>
      <c r="H66" s="35">
        <v>479</v>
      </c>
      <c r="I66" s="35" cm="1">
        <f t="array" ref="I66">_xlfn.XLOOKUP(Table1[[#This Row],[Malli]],'Puhelin tuotehinta'!$B$2:$B$49,_xlfn.XLOOKUP(Table1[[#This Row],[Tuote]],'Puhelin tuotehinta'!$C$1:$E$1,'Puhelin tuotehinta'!$C$2:$E$49))</f>
        <v>330</v>
      </c>
      <c r="J66" s="35">
        <f>_xlfn.XLOOKUP(Table1[[#This Row],[Malli]],Table3[Model],Table3[Average Price (EUR)])</f>
        <v>1179</v>
      </c>
      <c r="K66" s="32">
        <v>24</v>
      </c>
      <c r="L66" s="32">
        <v>2</v>
      </c>
      <c r="M66" s="32" t="b">
        <v>0</v>
      </c>
    </row>
    <row r="67" spans="1:13">
      <c r="A67" s="34">
        <f t="shared" si="2"/>
        <v>66</v>
      </c>
      <c r="B67" s="34" t="s">
        <v>43</v>
      </c>
      <c r="C67" s="34" t="s">
        <v>22</v>
      </c>
      <c r="D67" s="34" t="s">
        <v>24</v>
      </c>
      <c r="E67" s="34" t="str">
        <f>Table1[[#This Row],[Merkki]] &amp; " " &amp; Table1[[#This Row],[Malli]]</f>
        <v>Apple iPhone 15 Pro 5G</v>
      </c>
      <c r="F67" s="34" t="str">
        <f>Table1[[#This Row],[Liike]] &amp; " " &amp; Table1[[#This Row],[Merkki ja malli]]</f>
        <v>itapsa Apple iPhone 15 Pro 5G</v>
      </c>
      <c r="G67" s="16" t="s">
        <v>4</v>
      </c>
      <c r="H67" s="35">
        <v>89</v>
      </c>
      <c r="I67" s="35" cm="1">
        <f t="array" ref="I67">_xlfn.XLOOKUP(Table1[[#This Row],[Malli]],'Puhelin tuotehinta'!$B$2:$B$49,_xlfn.XLOOKUP(Table1[[#This Row],[Tuote]],'Puhelin tuotehinta'!$C$1:$E$1,'Puhelin tuotehinta'!$C$2:$E$49))</f>
        <v>27</v>
      </c>
      <c r="J67" s="35">
        <f>_xlfn.XLOOKUP(Table1[[#This Row],[Malli]],Table3[Model],Table3[Average Price (EUR)])</f>
        <v>1179</v>
      </c>
      <c r="K67" s="32">
        <v>24</v>
      </c>
      <c r="L67" s="32">
        <v>2</v>
      </c>
      <c r="M67" s="32" t="b">
        <v>0</v>
      </c>
    </row>
    <row r="68" spans="1:13">
      <c r="A68" s="34">
        <f t="shared" si="2"/>
        <v>67</v>
      </c>
      <c r="B68" s="34" t="s">
        <v>43</v>
      </c>
      <c r="C68" s="34" t="s">
        <v>19</v>
      </c>
      <c r="D68" s="34" t="s">
        <v>20</v>
      </c>
      <c r="E68" s="34" t="str">
        <f>Table1[[#This Row],[Merkki]] &amp; " " &amp; Table1[[#This Row],[Malli]]</f>
        <v>Honor X6a</v>
      </c>
      <c r="F68" s="34" t="str">
        <f>Table1[[#This Row],[Liike]] &amp; " " &amp; Table1[[#This Row],[Merkki ja malli]]</f>
        <v>itapsa Honor X6a</v>
      </c>
      <c r="G68" s="16" t="s">
        <v>26</v>
      </c>
      <c r="H68" s="35">
        <v>89</v>
      </c>
      <c r="I68" s="35" cm="1">
        <f t="array" ref="I68">_xlfn.XLOOKUP(Table1[[#This Row],[Malli]],'Puhelin tuotehinta'!$B$2:$B$49,_xlfn.XLOOKUP(Table1[[#This Row],[Tuote]],'Puhelin tuotehinta'!$C$1:$E$1,'Puhelin tuotehinta'!$C$2:$E$49))</f>
        <v>40</v>
      </c>
      <c r="J68" s="35">
        <f>_xlfn.XLOOKUP(Table1[[#This Row],[Malli]],Table3[Model],Table3[Average Price (EUR)])</f>
        <v>117</v>
      </c>
      <c r="K68" s="32">
        <v>24</v>
      </c>
      <c r="L68" s="32">
        <v>2</v>
      </c>
      <c r="M68" s="32" t="b">
        <v>0</v>
      </c>
    </row>
    <row r="69" spans="1:13">
      <c r="A69" s="34">
        <f t="shared" si="2"/>
        <v>68</v>
      </c>
      <c r="B69" s="34" t="s">
        <v>43</v>
      </c>
      <c r="C69" s="34" t="s">
        <v>19</v>
      </c>
      <c r="D69" s="34" t="s">
        <v>20</v>
      </c>
      <c r="E69" s="34" t="str">
        <f>Table1[[#This Row],[Merkki]] &amp; " " &amp; Table1[[#This Row],[Malli]]</f>
        <v>Honor X6a</v>
      </c>
      <c r="F69" s="34" t="str">
        <f>Table1[[#This Row],[Liike]] &amp; " " &amp; Table1[[#This Row],[Merkki ja malli]]</f>
        <v>itapsa Honor X6a</v>
      </c>
      <c r="G69" s="16" t="s">
        <v>4</v>
      </c>
      <c r="H69" s="35">
        <v>49</v>
      </c>
      <c r="I69" s="35" cm="1">
        <f t="array" ref="I69">_xlfn.XLOOKUP(Table1[[#This Row],[Malli]],'Puhelin tuotehinta'!$B$2:$B$49,_xlfn.XLOOKUP(Table1[[#This Row],[Tuote]],'Puhelin tuotehinta'!$C$1:$E$1,'Puhelin tuotehinta'!$C$2:$E$49))</f>
        <v>19</v>
      </c>
      <c r="J69" s="35">
        <f>_xlfn.XLOOKUP(Table1[[#This Row],[Malli]],Table3[Model],Table3[Average Price (EUR)])</f>
        <v>117</v>
      </c>
      <c r="K69" s="32">
        <v>24</v>
      </c>
      <c r="L69" s="32">
        <v>2</v>
      </c>
      <c r="M69" s="32" t="b">
        <v>0</v>
      </c>
    </row>
    <row r="70" spans="1:13">
      <c r="A70" s="34">
        <f t="shared" si="2"/>
        <v>69</v>
      </c>
      <c r="B70" s="34" t="s">
        <v>43</v>
      </c>
      <c r="C70" s="34" t="s">
        <v>19</v>
      </c>
      <c r="D70" s="34" t="s">
        <v>20</v>
      </c>
      <c r="E70" s="34" t="str">
        <f>Table1[[#This Row],[Merkki]] &amp; " " &amp; Table1[[#This Row],[Malli]]</f>
        <v>Honor X6a</v>
      </c>
      <c r="F70" s="34" t="str">
        <f>Table1[[#This Row],[Liike]] &amp; " " &amp; Table1[[#This Row],[Merkki ja malli]]</f>
        <v>itapsa Honor X6a</v>
      </c>
      <c r="G70" s="16" t="s">
        <v>21</v>
      </c>
      <c r="H70" s="35">
        <v>69</v>
      </c>
      <c r="I70" s="35" cm="1">
        <f t="array" ref="I70">_xlfn.XLOOKUP(Table1[[#This Row],[Malli]],'Puhelin tuotehinta'!$B$2:$B$49,_xlfn.XLOOKUP(Table1[[#This Row],[Tuote]],'Puhelin tuotehinta'!$C$1:$E$1,'Puhelin tuotehinta'!$C$2:$E$49))</f>
        <v>23</v>
      </c>
      <c r="J70" s="35">
        <f>_xlfn.XLOOKUP(Table1[[#This Row],[Malli]],Table3[Model],Table3[Average Price (EUR)])</f>
        <v>117</v>
      </c>
      <c r="K70" s="32">
        <v>24</v>
      </c>
      <c r="L70" s="32">
        <v>2</v>
      </c>
      <c r="M70" s="32" t="b">
        <v>0</v>
      </c>
    </row>
    <row r="71" spans="1:13">
      <c r="A71" s="34">
        <f t="shared" si="2"/>
        <v>70</v>
      </c>
      <c r="B71" s="34" t="s">
        <v>43</v>
      </c>
      <c r="C71" s="34" t="s">
        <v>17</v>
      </c>
      <c r="D71" s="34" t="s">
        <v>13</v>
      </c>
      <c r="E71" s="34" t="str">
        <f>Table1[[#This Row],[Merkki]] &amp; " " &amp; Table1[[#This Row],[Malli]]</f>
        <v>OnePlus 12 5G</v>
      </c>
      <c r="F71" s="34" t="str">
        <f>Table1[[#This Row],[Liike]] &amp; " " &amp; Table1[[#This Row],[Merkki ja malli]]</f>
        <v>itapsa OnePlus 12 5G</v>
      </c>
      <c r="G71" s="16" t="s">
        <v>26</v>
      </c>
      <c r="H71" s="35">
        <v>469</v>
      </c>
      <c r="I71" s="35" cm="1">
        <f t="array" ref="I71">_xlfn.XLOOKUP(Table1[[#This Row],[Malli]],'Puhelin tuotehinta'!$B$2:$B$49,_xlfn.XLOOKUP(Table1[[#This Row],[Tuote]],'Puhelin tuotehinta'!$C$1:$E$1,'Puhelin tuotehinta'!$C$2:$E$49))</f>
        <v>176</v>
      </c>
      <c r="J71" s="35">
        <f>_xlfn.XLOOKUP(Table1[[#This Row],[Malli]],Table3[Model],Table3[Average Price (EUR)])</f>
        <v>649</v>
      </c>
      <c r="K71" s="32">
        <v>24</v>
      </c>
      <c r="L71" s="32">
        <v>2</v>
      </c>
      <c r="M71" s="32" t="b">
        <v>0</v>
      </c>
    </row>
    <row r="72" spans="1:13">
      <c r="A72" s="34">
        <f t="shared" si="2"/>
        <v>71</v>
      </c>
      <c r="B72" s="34" t="s">
        <v>43</v>
      </c>
      <c r="C72" s="34" t="s">
        <v>17</v>
      </c>
      <c r="D72" s="34" t="s">
        <v>13</v>
      </c>
      <c r="E72" s="34" t="str">
        <f>Table1[[#This Row],[Merkki]] &amp; " " &amp; Table1[[#This Row],[Malli]]</f>
        <v>OnePlus 12 5G</v>
      </c>
      <c r="F72" s="34" t="str">
        <f>Table1[[#This Row],[Liike]] &amp; " " &amp; Table1[[#This Row],[Merkki ja malli]]</f>
        <v>itapsa OnePlus 12 5G</v>
      </c>
      <c r="G72" s="16" t="s">
        <v>4</v>
      </c>
      <c r="H72" s="35"/>
      <c r="I72" s="35" cm="1">
        <f t="array" ref="I72">_xlfn.XLOOKUP(Table1[[#This Row],[Malli]],'Puhelin tuotehinta'!$B$2:$B$49,_xlfn.XLOOKUP(Table1[[#This Row],[Tuote]],'Puhelin tuotehinta'!$C$1:$E$1,'Puhelin tuotehinta'!$C$2:$E$49))</f>
        <v>14</v>
      </c>
      <c r="J72" s="35">
        <f>_xlfn.XLOOKUP(Table1[[#This Row],[Malli]],Table3[Model],Table3[Average Price (EUR)])</f>
        <v>649</v>
      </c>
      <c r="K72" s="32">
        <v>24</v>
      </c>
      <c r="L72" s="32">
        <v>2</v>
      </c>
      <c r="M72" s="32" t="b">
        <v>0</v>
      </c>
    </row>
    <row r="73" spans="1:13">
      <c r="A73" s="34">
        <f t="shared" si="2"/>
        <v>72</v>
      </c>
      <c r="B73" s="34" t="s">
        <v>43</v>
      </c>
      <c r="C73" s="34" t="s">
        <v>17</v>
      </c>
      <c r="D73" s="34" t="s">
        <v>13</v>
      </c>
      <c r="E73" s="34" t="str">
        <f>Table1[[#This Row],[Merkki]] &amp; " " &amp; Table1[[#This Row],[Malli]]</f>
        <v>OnePlus 12 5G</v>
      </c>
      <c r="F73" s="34" t="str">
        <f>Table1[[#This Row],[Liike]] &amp; " " &amp; Table1[[#This Row],[Merkki ja malli]]</f>
        <v>itapsa OnePlus 12 5G</v>
      </c>
      <c r="G73" s="16" t="s">
        <v>21</v>
      </c>
      <c r="H73" s="35"/>
      <c r="I73" s="35" cm="1">
        <f t="array" ref="I73">_xlfn.XLOOKUP(Table1[[#This Row],[Malli]],'Puhelin tuotehinta'!$B$2:$B$49,_xlfn.XLOOKUP(Table1[[#This Row],[Tuote]],'Puhelin tuotehinta'!$C$1:$E$1,'Puhelin tuotehinta'!$C$2:$E$49))</f>
        <v>15</v>
      </c>
      <c r="J73" s="35">
        <f>_xlfn.XLOOKUP(Table1[[#This Row],[Malli]],Table3[Model],Table3[Average Price (EUR)])</f>
        <v>649</v>
      </c>
      <c r="K73" s="32">
        <v>24</v>
      </c>
      <c r="L73" s="32">
        <v>2</v>
      </c>
      <c r="M73" s="32" t="b">
        <v>0</v>
      </c>
    </row>
    <row r="74" spans="1:13">
      <c r="A74" s="34">
        <f t="shared" si="2"/>
        <v>73</v>
      </c>
      <c r="B74" s="34" t="s">
        <v>43</v>
      </c>
      <c r="C74" s="34" t="s">
        <v>17</v>
      </c>
      <c r="D74" s="34" t="s">
        <v>12</v>
      </c>
      <c r="E74" s="34" t="str">
        <f>Table1[[#This Row],[Merkki]] &amp; " " &amp; Table1[[#This Row],[Malli]]</f>
        <v>OnePlus Nord CE 3 Lite 5G</v>
      </c>
      <c r="F74" s="34" t="str">
        <f>Table1[[#This Row],[Liike]] &amp; " " &amp; Table1[[#This Row],[Merkki ja malli]]</f>
        <v>itapsa OnePlus Nord CE 3 Lite 5G</v>
      </c>
      <c r="G74" s="16" t="s">
        <v>26</v>
      </c>
      <c r="H74" s="35">
        <v>169</v>
      </c>
      <c r="I74" s="35" cm="1">
        <f t="array" ref="I74">_xlfn.XLOOKUP(Table1[[#This Row],[Malli]],'Puhelin tuotehinta'!$B$2:$B$49,_xlfn.XLOOKUP(Table1[[#This Row],[Tuote]],'Puhelin tuotehinta'!$C$1:$E$1,'Puhelin tuotehinta'!$C$2:$E$49))</f>
        <v>40</v>
      </c>
      <c r="J74" s="35">
        <f>_xlfn.XLOOKUP(Table1[[#This Row],[Malli]],Table3[Model],Table3[Average Price (EUR)])</f>
        <v>249</v>
      </c>
      <c r="K74" s="32">
        <v>24</v>
      </c>
      <c r="L74" s="32">
        <v>2</v>
      </c>
      <c r="M74" s="32" t="b">
        <v>0</v>
      </c>
    </row>
    <row r="75" spans="1:13">
      <c r="A75" s="34">
        <f t="shared" si="2"/>
        <v>74</v>
      </c>
      <c r="B75" s="34" t="s">
        <v>43</v>
      </c>
      <c r="C75" s="34" t="s">
        <v>17</v>
      </c>
      <c r="D75" s="34" t="s">
        <v>12</v>
      </c>
      <c r="E75" s="34" t="str">
        <f>Table1[[#This Row],[Merkki]] &amp; " " &amp; Table1[[#This Row],[Malli]]</f>
        <v>OnePlus Nord CE 3 Lite 5G</v>
      </c>
      <c r="F75" s="34" t="str">
        <f>Table1[[#This Row],[Liike]] &amp; " " &amp; Table1[[#This Row],[Merkki ja malli]]</f>
        <v>itapsa OnePlus Nord CE 3 Lite 5G</v>
      </c>
      <c r="G75" s="16" t="s">
        <v>4</v>
      </c>
      <c r="H75" s="35">
        <v>79</v>
      </c>
      <c r="I75" s="35" cm="1">
        <f t="array" ref="I75">_xlfn.XLOOKUP(Table1[[#This Row],[Malli]],'Puhelin tuotehinta'!$B$2:$B$49,_xlfn.XLOOKUP(Table1[[#This Row],[Tuote]],'Puhelin tuotehinta'!$C$1:$E$1,'Puhelin tuotehinta'!$C$2:$E$49))</f>
        <v>10</v>
      </c>
      <c r="J75" s="35">
        <f>_xlfn.XLOOKUP(Table1[[#This Row],[Malli]],Table3[Model],Table3[Average Price (EUR)])</f>
        <v>249</v>
      </c>
      <c r="K75" s="32">
        <v>24</v>
      </c>
      <c r="L75" s="32">
        <v>2</v>
      </c>
      <c r="M75" s="32" t="b">
        <v>0</v>
      </c>
    </row>
    <row r="76" spans="1:13">
      <c r="A76" s="34">
        <f t="shared" si="2"/>
        <v>75</v>
      </c>
      <c r="B76" s="34" t="s">
        <v>43</v>
      </c>
      <c r="C76" s="34" t="s">
        <v>17</v>
      </c>
      <c r="D76" s="34" t="s">
        <v>12</v>
      </c>
      <c r="E76" s="34" t="str">
        <f>Table1[[#This Row],[Merkki]] &amp; " " &amp; Table1[[#This Row],[Malli]]</f>
        <v>OnePlus Nord CE 3 Lite 5G</v>
      </c>
      <c r="F76" s="34" t="str">
        <f>Table1[[#This Row],[Liike]] &amp; " " &amp; Table1[[#This Row],[Merkki ja malli]]</f>
        <v>itapsa OnePlus Nord CE 3 Lite 5G</v>
      </c>
      <c r="G76" s="16" t="s">
        <v>21</v>
      </c>
      <c r="H76" s="35"/>
      <c r="I76" s="35" cm="1">
        <f t="array" ref="I76">_xlfn.XLOOKUP(Table1[[#This Row],[Malli]],'Puhelin tuotehinta'!$B$2:$B$49,_xlfn.XLOOKUP(Table1[[#This Row],[Tuote]],'Puhelin tuotehinta'!$C$1:$E$1,'Puhelin tuotehinta'!$C$2:$E$49))</f>
        <v>15</v>
      </c>
      <c r="J76" s="35">
        <f>_xlfn.XLOOKUP(Table1[[#This Row],[Malli]],Table3[Model],Table3[Average Price (EUR)])</f>
        <v>249</v>
      </c>
      <c r="K76" s="32">
        <v>24</v>
      </c>
      <c r="L76" s="32">
        <v>2</v>
      </c>
      <c r="M76" s="32" t="b">
        <v>0</v>
      </c>
    </row>
    <row r="77" spans="1:13">
      <c r="A77" s="34">
        <f t="shared" si="2"/>
        <v>76</v>
      </c>
      <c r="B77" s="34" t="s">
        <v>43</v>
      </c>
      <c r="C77" s="34" t="s">
        <v>17</v>
      </c>
      <c r="D77" s="34" t="s">
        <v>18</v>
      </c>
      <c r="E77" s="34" t="str">
        <f>Table1[[#This Row],[Merkki]] &amp; " " &amp; Table1[[#This Row],[Malli]]</f>
        <v>OnePlus Nord CE4 Lite 5G</v>
      </c>
      <c r="F77" s="34" t="str">
        <f>Table1[[#This Row],[Liike]] &amp; " " &amp; Table1[[#This Row],[Merkki ja malli]]</f>
        <v>itapsa OnePlus Nord CE4 Lite 5G</v>
      </c>
      <c r="G77" s="16" t="s">
        <v>26</v>
      </c>
      <c r="H77" s="35">
        <v>169</v>
      </c>
      <c r="I77" s="35" cm="1">
        <f t="array" ref="I77">_xlfn.XLOOKUP(Table1[[#This Row],[Malli]],'Puhelin tuotehinta'!$B$2:$B$49,_xlfn.XLOOKUP(Table1[[#This Row],[Tuote]],'Puhelin tuotehinta'!$C$1:$E$1,'Puhelin tuotehinta'!$C$2:$E$49))</f>
        <v>88</v>
      </c>
      <c r="J77" s="35">
        <f>_xlfn.XLOOKUP(Table1[[#This Row],[Malli]],Table3[Model],Table3[Average Price (EUR)])</f>
        <v>179</v>
      </c>
      <c r="K77" s="32">
        <v>24</v>
      </c>
      <c r="L77" s="32">
        <v>2</v>
      </c>
      <c r="M77" s="32" t="b">
        <v>0</v>
      </c>
    </row>
    <row r="78" spans="1:13">
      <c r="A78" s="34">
        <f t="shared" si="2"/>
        <v>77</v>
      </c>
      <c r="B78" s="34" t="s">
        <v>43</v>
      </c>
      <c r="C78" s="34" t="s">
        <v>17</v>
      </c>
      <c r="D78" s="34" t="s">
        <v>18</v>
      </c>
      <c r="E78" s="34" t="str">
        <f>Table1[[#This Row],[Merkki]] &amp; " " &amp; Table1[[#This Row],[Malli]]</f>
        <v>OnePlus Nord CE4 Lite 5G</v>
      </c>
      <c r="F78" s="34" t="str">
        <f>Table1[[#This Row],[Liike]] &amp; " " &amp; Table1[[#This Row],[Merkki ja malli]]</f>
        <v>itapsa OnePlus Nord CE4 Lite 5G</v>
      </c>
      <c r="G78" s="16" t="s">
        <v>4</v>
      </c>
      <c r="H78" s="35">
        <v>79</v>
      </c>
      <c r="I78" s="35" cm="1">
        <f t="array" ref="I78">_xlfn.XLOOKUP(Table1[[#This Row],[Malli]],'Puhelin tuotehinta'!$B$2:$B$49,_xlfn.XLOOKUP(Table1[[#This Row],[Tuote]],'Puhelin tuotehinta'!$C$1:$E$1,'Puhelin tuotehinta'!$C$2:$E$49))</f>
        <v>12</v>
      </c>
      <c r="J78" s="35">
        <f>_xlfn.XLOOKUP(Table1[[#This Row],[Malli]],Table3[Model],Table3[Average Price (EUR)])</f>
        <v>179</v>
      </c>
      <c r="K78" s="32">
        <v>24</v>
      </c>
      <c r="L78" s="32">
        <v>2</v>
      </c>
      <c r="M78" s="32" t="b">
        <v>0</v>
      </c>
    </row>
    <row r="79" spans="1:13">
      <c r="A79" s="34">
        <f t="shared" si="2"/>
        <v>78</v>
      </c>
      <c r="B79" s="34" t="s">
        <v>43</v>
      </c>
      <c r="C79" s="34" t="s">
        <v>17</v>
      </c>
      <c r="D79" s="34" t="s">
        <v>18</v>
      </c>
      <c r="E79" s="34" t="str">
        <f>Table1[[#This Row],[Merkki]] &amp; " " &amp; Table1[[#This Row],[Malli]]</f>
        <v>OnePlus Nord CE4 Lite 5G</v>
      </c>
      <c r="F79" s="34" t="str">
        <f>Table1[[#This Row],[Liike]] &amp; " " &amp; Table1[[#This Row],[Merkki ja malli]]</f>
        <v>itapsa OnePlus Nord CE4 Lite 5G</v>
      </c>
      <c r="G79" s="16" t="s">
        <v>21</v>
      </c>
      <c r="H79" s="35"/>
      <c r="I79" s="35" cm="1">
        <f t="array" ref="I79">_xlfn.XLOOKUP(Table1[[#This Row],[Malli]],'Puhelin tuotehinta'!$B$2:$B$49,_xlfn.XLOOKUP(Table1[[#This Row],[Tuote]],'Puhelin tuotehinta'!$C$1:$E$1,'Puhelin tuotehinta'!$C$2:$E$49))</f>
        <v>15</v>
      </c>
      <c r="J79" s="35">
        <f>_xlfn.XLOOKUP(Table1[[#This Row],[Malli]],Table3[Model],Table3[Average Price (EUR)])</f>
        <v>179</v>
      </c>
      <c r="K79" s="32">
        <v>24</v>
      </c>
      <c r="L79" s="32">
        <v>2</v>
      </c>
      <c r="M79" s="32" t="b">
        <v>0</v>
      </c>
    </row>
    <row r="80" spans="1:13">
      <c r="A80" s="34">
        <f t="shared" si="2"/>
        <v>79</v>
      </c>
      <c r="B80" s="34" t="s">
        <v>43</v>
      </c>
      <c r="C80" s="34" t="s">
        <v>11</v>
      </c>
      <c r="D80" s="34" t="s">
        <v>10</v>
      </c>
      <c r="E80" s="34" t="str">
        <f>Table1[[#This Row],[Merkki]] &amp; " " &amp; Table1[[#This Row],[Malli]]</f>
        <v>Oppo A18</v>
      </c>
      <c r="F80" s="34" t="str">
        <f>Table1[[#This Row],[Liike]] &amp; " " &amp; Table1[[#This Row],[Merkki ja malli]]</f>
        <v>itapsa Oppo A18</v>
      </c>
      <c r="G80" s="16" t="s">
        <v>26</v>
      </c>
      <c r="H80" s="35">
        <v>90</v>
      </c>
      <c r="I80" s="35" cm="1">
        <f t="array" ref="I80">_xlfn.XLOOKUP(Table1[[#This Row],[Malli]],'Puhelin tuotehinta'!$B$2:$B$49,_xlfn.XLOOKUP(Table1[[#This Row],[Tuote]],'Puhelin tuotehinta'!$C$1:$E$1,'Puhelin tuotehinta'!$C$2:$E$49))</f>
        <v>16</v>
      </c>
      <c r="J80" s="35">
        <f>_xlfn.XLOOKUP(Table1[[#This Row],[Malli]],Table3[Model],Table3[Average Price (EUR)])</f>
        <v>79</v>
      </c>
      <c r="K80" s="32">
        <v>24</v>
      </c>
      <c r="L80" s="32">
        <v>2</v>
      </c>
      <c r="M80" s="32" t="b">
        <v>0</v>
      </c>
    </row>
    <row r="81" spans="1:13">
      <c r="A81" s="34">
        <f t="shared" si="2"/>
        <v>80</v>
      </c>
      <c r="B81" s="34" t="s">
        <v>43</v>
      </c>
      <c r="C81" s="34" t="s">
        <v>11</v>
      </c>
      <c r="D81" s="34" t="s">
        <v>10</v>
      </c>
      <c r="E81" s="34" t="str">
        <f>Table1[[#This Row],[Merkki]] &amp; " " &amp; Table1[[#This Row],[Malli]]</f>
        <v>Oppo A18</v>
      </c>
      <c r="F81" s="34" t="str">
        <f>Table1[[#This Row],[Liike]] &amp; " " &amp; Table1[[#This Row],[Merkki ja malli]]</f>
        <v>itapsa Oppo A18</v>
      </c>
      <c r="G81" s="16" t="s">
        <v>4</v>
      </c>
      <c r="H81" s="35"/>
      <c r="I81" s="35" cm="1">
        <f t="array" ref="I81">_xlfn.XLOOKUP(Table1[[#This Row],[Malli]],'Puhelin tuotehinta'!$B$2:$B$49,_xlfn.XLOOKUP(Table1[[#This Row],[Tuote]],'Puhelin tuotehinta'!$C$1:$E$1,'Puhelin tuotehinta'!$C$2:$E$49))</f>
        <v>17</v>
      </c>
      <c r="J81" s="35">
        <f>_xlfn.XLOOKUP(Table1[[#This Row],[Malli]],Table3[Model],Table3[Average Price (EUR)])</f>
        <v>79</v>
      </c>
      <c r="K81" s="32">
        <v>24</v>
      </c>
      <c r="L81" s="32">
        <v>2</v>
      </c>
      <c r="M81" s="32" t="b">
        <v>0</v>
      </c>
    </row>
    <row r="82" spans="1:13">
      <c r="A82" s="34">
        <f t="shared" si="2"/>
        <v>81</v>
      </c>
      <c r="B82" s="34" t="s">
        <v>43</v>
      </c>
      <c r="C82" s="34" t="s">
        <v>11</v>
      </c>
      <c r="D82" s="34" t="s">
        <v>10</v>
      </c>
      <c r="E82" s="34" t="str">
        <f>Table1[[#This Row],[Merkki]] &amp; " " &amp; Table1[[#This Row],[Malli]]</f>
        <v>Oppo A18</v>
      </c>
      <c r="F82" s="34" t="str">
        <f>Table1[[#This Row],[Liike]] &amp; " " &amp; Table1[[#This Row],[Merkki ja malli]]</f>
        <v>itapsa Oppo A18</v>
      </c>
      <c r="G82" s="16" t="s">
        <v>21</v>
      </c>
      <c r="H82" s="35"/>
      <c r="I82" s="35" cm="1">
        <f t="array" ref="I82">_xlfn.XLOOKUP(Table1[[#This Row],[Malli]],'Puhelin tuotehinta'!$B$2:$B$49,_xlfn.XLOOKUP(Table1[[#This Row],[Tuote]],'Puhelin tuotehinta'!$C$1:$E$1,'Puhelin tuotehinta'!$C$2:$E$49))</f>
        <v>17</v>
      </c>
      <c r="J82" s="35">
        <f>_xlfn.XLOOKUP(Table1[[#This Row],[Malli]],Table3[Model],Table3[Average Price (EUR)])</f>
        <v>79</v>
      </c>
      <c r="K82" s="32">
        <v>24</v>
      </c>
      <c r="L82" s="32">
        <v>2</v>
      </c>
      <c r="M82" s="32" t="b">
        <v>0</v>
      </c>
    </row>
    <row r="83" spans="1:13">
      <c r="A83" s="34">
        <f t="shared" si="2"/>
        <v>82</v>
      </c>
      <c r="B83" s="34" t="s">
        <v>43</v>
      </c>
      <c r="C83" s="34" t="s">
        <v>3</v>
      </c>
      <c r="D83" s="34" t="s">
        <v>14</v>
      </c>
      <c r="E83" s="34" t="str">
        <f>Table1[[#This Row],[Merkki]] &amp; " " &amp; Table1[[#This Row],[Malli]]</f>
        <v>Samsung Galaxy A15 5G</v>
      </c>
      <c r="F83" s="34" t="str">
        <f>Table1[[#This Row],[Liike]] &amp; " " &amp; Table1[[#This Row],[Merkki ja malli]]</f>
        <v>itapsa Samsung Galaxy A15 5G</v>
      </c>
      <c r="G83" s="16" t="s">
        <v>26</v>
      </c>
      <c r="H83" s="35">
        <v>109</v>
      </c>
      <c r="I83" s="35" cm="1">
        <f t="array" ref="I83">_xlfn.XLOOKUP(Table1[[#This Row],[Malli]],'Puhelin tuotehinta'!$B$2:$B$49,_xlfn.XLOOKUP(Table1[[#This Row],[Tuote]],'Puhelin tuotehinta'!$C$1:$E$1,'Puhelin tuotehinta'!$C$2:$E$49))</f>
        <v>27</v>
      </c>
      <c r="J83" s="35">
        <f>_xlfn.XLOOKUP(Table1[[#This Row],[Malli]],Table3[Model],Table3[Average Price (EUR)])</f>
        <v>129</v>
      </c>
      <c r="K83" s="32">
        <v>24</v>
      </c>
      <c r="L83" s="32">
        <v>2</v>
      </c>
      <c r="M83" s="32" t="b">
        <v>0</v>
      </c>
    </row>
    <row r="84" spans="1:13">
      <c r="A84" s="34">
        <f t="shared" si="2"/>
        <v>83</v>
      </c>
      <c r="B84" s="34" t="s">
        <v>43</v>
      </c>
      <c r="C84" s="34" t="s">
        <v>3</v>
      </c>
      <c r="D84" s="34" t="s">
        <v>14</v>
      </c>
      <c r="E84" s="34" t="str">
        <f>Table1[[#This Row],[Merkki]] &amp; " " &amp; Table1[[#This Row],[Malli]]</f>
        <v>Samsung Galaxy A15 5G</v>
      </c>
      <c r="F84" s="34" t="str">
        <f>Table1[[#This Row],[Liike]] &amp; " " &amp; Table1[[#This Row],[Merkki ja malli]]</f>
        <v>itapsa Samsung Galaxy A15 5G</v>
      </c>
      <c r="G84" s="16" t="s">
        <v>4</v>
      </c>
      <c r="H84" s="35">
        <v>78</v>
      </c>
      <c r="I84" s="35" cm="1">
        <f t="array" ref="I84">_xlfn.XLOOKUP(Table1[[#This Row],[Malli]],'Puhelin tuotehinta'!$B$2:$B$49,_xlfn.XLOOKUP(Table1[[#This Row],[Tuote]],'Puhelin tuotehinta'!$C$1:$E$1,'Puhelin tuotehinta'!$C$2:$E$49))</f>
        <v>18</v>
      </c>
      <c r="J84" s="35">
        <f>_xlfn.XLOOKUP(Table1[[#This Row],[Malli]],Table3[Model],Table3[Average Price (EUR)])</f>
        <v>129</v>
      </c>
      <c r="K84" s="32">
        <v>24</v>
      </c>
      <c r="L84" s="32">
        <v>2</v>
      </c>
      <c r="M84" s="32" t="b">
        <v>0</v>
      </c>
    </row>
    <row r="85" spans="1:13">
      <c r="A85" s="34">
        <f t="shared" si="2"/>
        <v>84</v>
      </c>
      <c r="B85" s="34" t="s">
        <v>43</v>
      </c>
      <c r="C85" s="34" t="s">
        <v>3</v>
      </c>
      <c r="D85" s="34" t="s">
        <v>14</v>
      </c>
      <c r="E85" s="34" t="str">
        <f>Table1[[#This Row],[Merkki]] &amp; " " &amp; Table1[[#This Row],[Malli]]</f>
        <v>Samsung Galaxy A15 5G</v>
      </c>
      <c r="F85" s="34" t="str">
        <f>Table1[[#This Row],[Liike]] &amp; " " &amp; Table1[[#This Row],[Merkki ja malli]]</f>
        <v>itapsa Samsung Galaxy A15 5G</v>
      </c>
      <c r="G85" s="16" t="s">
        <v>21</v>
      </c>
      <c r="H85" s="35">
        <v>69</v>
      </c>
      <c r="I85" s="35" cm="1">
        <f t="array" ref="I85">_xlfn.XLOOKUP(Table1[[#This Row],[Malli]],'Puhelin tuotehinta'!$B$2:$B$49,_xlfn.XLOOKUP(Table1[[#This Row],[Tuote]],'Puhelin tuotehinta'!$C$1:$E$1,'Puhelin tuotehinta'!$C$2:$E$49))</f>
        <v>11</v>
      </c>
      <c r="J85" s="35">
        <f>_xlfn.XLOOKUP(Table1[[#This Row],[Malli]],Table3[Model],Table3[Average Price (EUR)])</f>
        <v>129</v>
      </c>
      <c r="K85" s="32">
        <v>24</v>
      </c>
      <c r="L85" s="32">
        <v>2</v>
      </c>
      <c r="M85" s="32" t="b">
        <v>0</v>
      </c>
    </row>
    <row r="86" spans="1:13">
      <c r="A86" s="34">
        <f t="shared" si="2"/>
        <v>85</v>
      </c>
      <c r="B86" s="34" t="s">
        <v>43</v>
      </c>
      <c r="C86" s="34" t="s">
        <v>3</v>
      </c>
      <c r="D86" s="34" t="s">
        <v>16</v>
      </c>
      <c r="E86" s="34" t="str">
        <f>Table1[[#This Row],[Merkki]] &amp; " " &amp; Table1[[#This Row],[Malli]]</f>
        <v>Samsung Galaxy A25 5G</v>
      </c>
      <c r="F86" s="34" t="str">
        <f>Table1[[#This Row],[Liike]] &amp; " " &amp; Table1[[#This Row],[Merkki ja malli]]</f>
        <v>itapsa Samsung Galaxy A25 5G</v>
      </c>
      <c r="G86" s="16" t="s">
        <v>26</v>
      </c>
      <c r="H86" s="35">
        <v>138</v>
      </c>
      <c r="I86" s="35" cm="1">
        <f t="array" ref="I86">_xlfn.XLOOKUP(Table1[[#This Row],[Malli]],'Puhelin tuotehinta'!$B$2:$B$49,_xlfn.XLOOKUP(Table1[[#This Row],[Tuote]],'Puhelin tuotehinta'!$C$1:$E$1,'Puhelin tuotehinta'!$C$2:$E$49))</f>
        <v>49</v>
      </c>
      <c r="J86" s="35">
        <f>_xlfn.XLOOKUP(Table1[[#This Row],[Malli]],Table3[Model],Table3[Average Price (EUR)])</f>
        <v>169</v>
      </c>
      <c r="K86" s="32">
        <v>24</v>
      </c>
      <c r="L86" s="32">
        <v>2</v>
      </c>
      <c r="M86" s="32" t="b">
        <v>0</v>
      </c>
    </row>
    <row r="87" spans="1:13">
      <c r="A87" s="34">
        <f t="shared" si="2"/>
        <v>86</v>
      </c>
      <c r="B87" s="34" t="s">
        <v>43</v>
      </c>
      <c r="C87" s="34" t="s">
        <v>3</v>
      </c>
      <c r="D87" s="34" t="s">
        <v>16</v>
      </c>
      <c r="E87" s="34" t="str">
        <f>Table1[[#This Row],[Merkki]] &amp; " " &amp; Table1[[#This Row],[Malli]]</f>
        <v>Samsung Galaxy A25 5G</v>
      </c>
      <c r="F87" s="34" t="str">
        <f>Table1[[#This Row],[Liike]] &amp; " " &amp; Table1[[#This Row],[Merkki ja malli]]</f>
        <v>itapsa Samsung Galaxy A25 5G</v>
      </c>
      <c r="G87" s="16" t="s">
        <v>4</v>
      </c>
      <c r="H87" s="35">
        <v>48</v>
      </c>
      <c r="I87" s="35" cm="1">
        <f t="array" ref="I87">_xlfn.XLOOKUP(Table1[[#This Row],[Malli]],'Puhelin tuotehinta'!$B$2:$B$49,_xlfn.XLOOKUP(Table1[[#This Row],[Tuote]],'Puhelin tuotehinta'!$C$1:$E$1,'Puhelin tuotehinta'!$C$2:$E$49))</f>
        <v>10</v>
      </c>
      <c r="J87" s="35">
        <f>_xlfn.XLOOKUP(Table1[[#This Row],[Malli]],Table3[Model],Table3[Average Price (EUR)])</f>
        <v>169</v>
      </c>
      <c r="K87" s="32">
        <v>24</v>
      </c>
      <c r="L87" s="32">
        <v>2</v>
      </c>
      <c r="M87" s="32" t="b">
        <v>0</v>
      </c>
    </row>
    <row r="88" spans="1:13">
      <c r="A88" s="34">
        <f t="shared" si="2"/>
        <v>87</v>
      </c>
      <c r="B88" s="34" t="s">
        <v>43</v>
      </c>
      <c r="C88" s="34" t="s">
        <v>3</v>
      </c>
      <c r="D88" s="34" t="s">
        <v>16</v>
      </c>
      <c r="E88" s="34" t="str">
        <f>Table1[[#This Row],[Merkki]] &amp; " " &amp; Table1[[#This Row],[Malli]]</f>
        <v>Samsung Galaxy A25 5G</v>
      </c>
      <c r="F88" s="34" t="str">
        <f>Table1[[#This Row],[Liike]] &amp; " " &amp; Table1[[#This Row],[Merkki ja malli]]</f>
        <v>itapsa Samsung Galaxy A25 5G</v>
      </c>
      <c r="G88" s="16" t="s">
        <v>21</v>
      </c>
      <c r="H88" s="35"/>
      <c r="I88" s="35" cm="1">
        <f t="array" ref="I88">_xlfn.XLOOKUP(Table1[[#This Row],[Malli]],'Puhelin tuotehinta'!$B$2:$B$49,_xlfn.XLOOKUP(Table1[[#This Row],[Tuote]],'Puhelin tuotehinta'!$C$1:$E$1,'Puhelin tuotehinta'!$C$2:$E$49))</f>
        <v>18</v>
      </c>
      <c r="J88" s="35">
        <f>_xlfn.XLOOKUP(Table1[[#This Row],[Malli]],Table3[Model],Table3[Average Price (EUR)])</f>
        <v>169</v>
      </c>
      <c r="K88" s="32">
        <v>24</v>
      </c>
      <c r="L88" s="32">
        <v>2</v>
      </c>
      <c r="M88" s="32" t="b">
        <v>0</v>
      </c>
    </row>
    <row r="89" spans="1:13">
      <c r="A89" s="34">
        <f t="shared" si="2"/>
        <v>88</v>
      </c>
      <c r="B89" s="34" t="s">
        <v>43</v>
      </c>
      <c r="C89" s="34" t="s">
        <v>3</v>
      </c>
      <c r="D89" s="34" t="s">
        <v>15</v>
      </c>
      <c r="E89" s="34" t="str">
        <f>Table1[[#This Row],[Merkki]] &amp; " " &amp; Table1[[#This Row],[Malli]]</f>
        <v>Samsung Galaxy A55 5G</v>
      </c>
      <c r="F89" s="34" t="str">
        <f>Table1[[#This Row],[Liike]] &amp; " " &amp; Table1[[#This Row],[Merkki ja malli]]</f>
        <v>itapsa Samsung Galaxy A55 5G</v>
      </c>
      <c r="G89" s="16" t="s">
        <v>26</v>
      </c>
      <c r="H89" s="35">
        <v>159</v>
      </c>
      <c r="I89" s="35" cm="1">
        <f t="array" ref="I89">_xlfn.XLOOKUP(Table1[[#This Row],[Malli]],'Puhelin tuotehinta'!$B$2:$B$49,_xlfn.XLOOKUP(Table1[[#This Row],[Tuote]],'Puhelin tuotehinta'!$C$1:$E$1,'Puhelin tuotehinta'!$C$2:$E$49))</f>
        <v>66</v>
      </c>
      <c r="J89" s="35">
        <f>_xlfn.XLOOKUP(Table1[[#This Row],[Malli]],Table3[Model],Table3[Average Price (EUR)])</f>
        <v>299</v>
      </c>
      <c r="K89" s="32">
        <v>24</v>
      </c>
      <c r="L89" s="32">
        <v>2</v>
      </c>
      <c r="M89" s="32" t="b">
        <v>0</v>
      </c>
    </row>
    <row r="90" spans="1:13">
      <c r="A90" s="34">
        <f t="shared" si="2"/>
        <v>89</v>
      </c>
      <c r="B90" s="34" t="s">
        <v>43</v>
      </c>
      <c r="C90" s="34" t="s">
        <v>3</v>
      </c>
      <c r="D90" s="34" t="s">
        <v>15</v>
      </c>
      <c r="E90" s="34" t="str">
        <f>Table1[[#This Row],[Merkki]] &amp; " " &amp; Table1[[#This Row],[Malli]]</f>
        <v>Samsung Galaxy A55 5G</v>
      </c>
      <c r="F90" s="34" t="str">
        <f>Table1[[#This Row],[Liike]] &amp; " " &amp; Table1[[#This Row],[Merkki ja malli]]</f>
        <v>itapsa Samsung Galaxy A55 5G</v>
      </c>
      <c r="G90" s="16" t="s">
        <v>4</v>
      </c>
      <c r="H90" s="35">
        <v>48</v>
      </c>
      <c r="I90" s="35" cm="1">
        <f t="array" ref="I90">_xlfn.XLOOKUP(Table1[[#This Row],[Malli]],'Puhelin tuotehinta'!$B$2:$B$49,_xlfn.XLOOKUP(Table1[[#This Row],[Tuote]],'Puhelin tuotehinta'!$C$1:$E$1,'Puhelin tuotehinta'!$C$2:$E$49))</f>
        <v>25</v>
      </c>
      <c r="J90" s="35">
        <f>_xlfn.XLOOKUP(Table1[[#This Row],[Malli]],Table3[Model],Table3[Average Price (EUR)])</f>
        <v>299</v>
      </c>
      <c r="K90" s="32">
        <v>24</v>
      </c>
      <c r="L90" s="32">
        <v>2</v>
      </c>
      <c r="M90" s="32" t="b">
        <v>0</v>
      </c>
    </row>
    <row r="91" spans="1:13">
      <c r="A91" s="34">
        <f t="shared" si="2"/>
        <v>90</v>
      </c>
      <c r="B91" s="34" t="s">
        <v>43</v>
      </c>
      <c r="C91" s="34" t="s">
        <v>3</v>
      </c>
      <c r="D91" s="34" t="s">
        <v>15</v>
      </c>
      <c r="E91" s="34" t="str">
        <f>Table1[[#This Row],[Merkki]] &amp; " " &amp; Table1[[#This Row],[Malli]]</f>
        <v>Samsung Galaxy A55 5G</v>
      </c>
      <c r="F91" s="34" t="str">
        <f>Table1[[#This Row],[Liike]] &amp; " " &amp; Table1[[#This Row],[Merkki ja malli]]</f>
        <v>itapsa Samsung Galaxy A55 5G</v>
      </c>
      <c r="G91" s="16" t="s">
        <v>21</v>
      </c>
      <c r="H91" s="35"/>
      <c r="I91" s="35" cm="1">
        <f t="array" ref="I91">_xlfn.XLOOKUP(Table1[[#This Row],[Malli]],'Puhelin tuotehinta'!$B$2:$B$49,_xlfn.XLOOKUP(Table1[[#This Row],[Tuote]],'Puhelin tuotehinta'!$C$1:$E$1,'Puhelin tuotehinta'!$C$2:$E$49))</f>
        <v>28</v>
      </c>
      <c r="J91" s="35">
        <f>_xlfn.XLOOKUP(Table1[[#This Row],[Malli]],Table3[Model],Table3[Average Price (EUR)])</f>
        <v>299</v>
      </c>
      <c r="K91" s="32">
        <v>24</v>
      </c>
      <c r="L91" s="32">
        <v>2</v>
      </c>
      <c r="M91" s="32" t="b">
        <v>0</v>
      </c>
    </row>
    <row r="92" spans="1:13">
      <c r="A92" s="34">
        <f t="shared" si="2"/>
        <v>91</v>
      </c>
      <c r="B92" s="34" t="s">
        <v>60</v>
      </c>
      <c r="C92" s="34" t="s">
        <v>22</v>
      </c>
      <c r="D92" s="34" t="s">
        <v>23</v>
      </c>
      <c r="E92" s="34" t="str">
        <f>Table1[[#This Row],[Merkki]] &amp; " " &amp; Table1[[#This Row],[Malli]]</f>
        <v>Apple iPhone 13 5G</v>
      </c>
      <c r="F92" s="34" t="str">
        <f>Table1[[#This Row],[Liike]] &amp; " " &amp; Table1[[#This Row],[Merkki ja malli]]</f>
        <v>Lahden ATK klinikka Apple iPhone 13 5G</v>
      </c>
      <c r="G92" s="16" t="s">
        <v>26</v>
      </c>
      <c r="H92" s="35">
        <v>139</v>
      </c>
      <c r="I92" s="35" cm="1">
        <f t="array" ref="I92">_xlfn.XLOOKUP(Table1[[#This Row],[Malli]],'Puhelin tuotehinta'!$B$2:$B$49,_xlfn.XLOOKUP(Table1[[#This Row],[Tuote]],'Puhelin tuotehinta'!$C$1:$E$1,'Puhelin tuotehinta'!$C$2:$E$49))</f>
        <v>181</v>
      </c>
      <c r="J92" s="35">
        <f>_xlfn.XLOOKUP(Table1[[#This Row],[Malli]],Table3[Model],Table3[Average Price (EUR)])</f>
        <v>479</v>
      </c>
      <c r="K92" s="32">
        <v>24</v>
      </c>
      <c r="L92" s="32"/>
      <c r="M92" s="32" t="b">
        <v>0</v>
      </c>
    </row>
    <row r="93" spans="1:13">
      <c r="A93" s="34">
        <f t="shared" si="2"/>
        <v>92</v>
      </c>
      <c r="B93" s="34" t="s">
        <v>60</v>
      </c>
      <c r="C93" s="34" t="s">
        <v>22</v>
      </c>
      <c r="D93" s="34" t="s">
        <v>23</v>
      </c>
      <c r="E93" s="34" t="str">
        <f>Table1[[#This Row],[Merkki]] &amp; " " &amp; Table1[[#This Row],[Malli]]</f>
        <v>Apple iPhone 13 5G</v>
      </c>
      <c r="F93" s="34" t="str">
        <f>Table1[[#This Row],[Liike]] &amp; " " &amp; Table1[[#This Row],[Merkki ja malli]]</f>
        <v>Lahden ATK klinikka Apple iPhone 13 5G</v>
      </c>
      <c r="G93" s="16" t="s">
        <v>4</v>
      </c>
      <c r="H93" s="35"/>
      <c r="I93" s="35" cm="1">
        <f t="array" ref="I93">_xlfn.XLOOKUP(Table1[[#This Row],[Malli]],'Puhelin tuotehinta'!$B$2:$B$49,_xlfn.XLOOKUP(Table1[[#This Row],[Tuote]],'Puhelin tuotehinta'!$C$1:$E$1,'Puhelin tuotehinta'!$C$2:$E$49))</f>
        <v>27</v>
      </c>
      <c r="J93" s="35">
        <f>_xlfn.XLOOKUP(Table1[[#This Row],[Malli]],Table3[Model],Table3[Average Price (EUR)])</f>
        <v>479</v>
      </c>
      <c r="K93" s="32">
        <v>6</v>
      </c>
      <c r="L93" s="32"/>
      <c r="M93" s="32" t="b">
        <v>0</v>
      </c>
    </row>
    <row r="94" spans="1:13">
      <c r="A94" s="34">
        <f t="shared" si="2"/>
        <v>93</v>
      </c>
      <c r="B94" s="34" t="s">
        <v>60</v>
      </c>
      <c r="C94" s="34" t="s">
        <v>22</v>
      </c>
      <c r="D94" s="34" t="s">
        <v>23</v>
      </c>
      <c r="E94" s="34" t="str">
        <f>Table1[[#This Row],[Merkki]] &amp; " " &amp; Table1[[#This Row],[Malli]]</f>
        <v>Apple iPhone 13 5G</v>
      </c>
      <c r="F94" s="34" t="str">
        <f>Table1[[#This Row],[Liike]] &amp; " " &amp; Table1[[#This Row],[Merkki ja malli]]</f>
        <v>Lahden ATK klinikka Apple iPhone 13 5G</v>
      </c>
      <c r="G94" s="16" t="s">
        <v>21</v>
      </c>
      <c r="H94" s="35"/>
      <c r="I94" s="35" cm="1">
        <f t="array" ref="I94">_xlfn.XLOOKUP(Table1[[#This Row],[Malli]],'Puhelin tuotehinta'!$B$2:$B$49,_xlfn.XLOOKUP(Table1[[#This Row],[Tuote]],'Puhelin tuotehinta'!$C$1:$E$1,'Puhelin tuotehinta'!$C$2:$E$49))</f>
        <v>21</v>
      </c>
      <c r="J94" s="35">
        <f>_xlfn.XLOOKUP(Table1[[#This Row],[Malli]],Table3[Model],Table3[Average Price (EUR)])</f>
        <v>479</v>
      </c>
      <c r="K94" s="32">
        <v>24</v>
      </c>
      <c r="L94" s="32"/>
      <c r="M94" s="32" t="b">
        <v>0</v>
      </c>
    </row>
    <row r="95" spans="1:13">
      <c r="A95" s="34">
        <f t="shared" si="2"/>
        <v>94</v>
      </c>
      <c r="B95" s="34" t="s">
        <v>60</v>
      </c>
      <c r="C95" s="34" t="s">
        <v>22</v>
      </c>
      <c r="D95" s="34" t="s">
        <v>24</v>
      </c>
      <c r="E95" s="34" t="str">
        <f>Table1[[#This Row],[Merkki]] &amp; " " &amp; Table1[[#This Row],[Malli]]</f>
        <v>Apple iPhone 15 Pro 5G</v>
      </c>
      <c r="F95" s="34" t="str">
        <f>Table1[[#This Row],[Liike]] &amp; " " &amp; Table1[[#This Row],[Merkki ja malli]]</f>
        <v>Lahden ATK klinikka Apple iPhone 15 Pro 5G</v>
      </c>
      <c r="G95" s="16" t="s">
        <v>21</v>
      </c>
      <c r="H95" s="35"/>
      <c r="I95" s="35" cm="1">
        <f t="array" ref="I95">_xlfn.XLOOKUP(Table1[[#This Row],[Malli]],'Puhelin tuotehinta'!$B$2:$B$49,_xlfn.XLOOKUP(Table1[[#This Row],[Tuote]],'Puhelin tuotehinta'!$C$1:$E$1,'Puhelin tuotehinta'!$C$2:$E$49))</f>
        <v>38</v>
      </c>
      <c r="J95" s="35">
        <f>_xlfn.XLOOKUP(Table1[[#This Row],[Malli]],Table3[Model],Table3[Average Price (EUR)])</f>
        <v>1179</v>
      </c>
      <c r="K95" s="32">
        <v>24</v>
      </c>
      <c r="L95" s="32"/>
      <c r="M95" s="32" t="b">
        <v>0</v>
      </c>
    </row>
    <row r="96" spans="1:13">
      <c r="A96" s="34">
        <f t="shared" si="2"/>
        <v>95</v>
      </c>
      <c r="B96" s="34" t="s">
        <v>60</v>
      </c>
      <c r="C96" s="34" t="s">
        <v>22</v>
      </c>
      <c r="D96" s="34" t="s">
        <v>24</v>
      </c>
      <c r="E96" s="34" t="str">
        <f>Table1[[#This Row],[Merkki]] &amp; " " &amp; Table1[[#This Row],[Malli]]</f>
        <v>Apple iPhone 15 Pro 5G</v>
      </c>
      <c r="F96" s="34" t="str">
        <f>Table1[[#This Row],[Liike]] &amp; " " &amp; Table1[[#This Row],[Merkki ja malli]]</f>
        <v>Lahden ATK klinikka Apple iPhone 15 Pro 5G</v>
      </c>
      <c r="G96" s="16" t="s">
        <v>26</v>
      </c>
      <c r="H96" s="35">
        <v>169</v>
      </c>
      <c r="I96" s="35" cm="1">
        <f t="array" ref="I96">_xlfn.XLOOKUP(Table1[[#This Row],[Malli]],'Puhelin tuotehinta'!$B$2:$B$49,_xlfn.XLOOKUP(Table1[[#This Row],[Tuote]],'Puhelin tuotehinta'!$C$1:$E$1,'Puhelin tuotehinta'!$C$2:$E$49))</f>
        <v>330</v>
      </c>
      <c r="J96" s="35">
        <f>_xlfn.XLOOKUP(Table1[[#This Row],[Malli]],Table3[Model],Table3[Average Price (EUR)])</f>
        <v>1179</v>
      </c>
      <c r="K96" s="32">
        <v>24</v>
      </c>
      <c r="L96" s="32"/>
      <c r="M96" s="32" t="b">
        <v>0</v>
      </c>
    </row>
    <row r="97" spans="1:13">
      <c r="A97" s="34">
        <f t="shared" si="2"/>
        <v>96</v>
      </c>
      <c r="B97" s="34" t="s">
        <v>60</v>
      </c>
      <c r="C97" s="34" t="s">
        <v>22</v>
      </c>
      <c r="D97" s="34" t="s">
        <v>24</v>
      </c>
      <c r="E97" s="34" t="str">
        <f>Table1[[#This Row],[Merkki]] &amp; " " &amp; Table1[[#This Row],[Malli]]</f>
        <v>Apple iPhone 15 Pro 5G</v>
      </c>
      <c r="F97" s="34" t="str">
        <f>Table1[[#This Row],[Liike]] &amp; " " &amp; Table1[[#This Row],[Merkki ja malli]]</f>
        <v>Lahden ATK klinikka Apple iPhone 15 Pro 5G</v>
      </c>
      <c r="G97" s="16" t="s">
        <v>4</v>
      </c>
      <c r="H97" s="35"/>
      <c r="I97" s="35" cm="1">
        <f t="array" ref="I97">_xlfn.XLOOKUP(Table1[[#This Row],[Malli]],'Puhelin tuotehinta'!$B$2:$B$49,_xlfn.XLOOKUP(Table1[[#This Row],[Tuote]],'Puhelin tuotehinta'!$C$1:$E$1,'Puhelin tuotehinta'!$C$2:$E$49))</f>
        <v>27</v>
      </c>
      <c r="J97" s="35">
        <f>_xlfn.XLOOKUP(Table1[[#This Row],[Malli]],Table3[Model],Table3[Average Price (EUR)])</f>
        <v>1179</v>
      </c>
      <c r="K97" s="32">
        <v>6</v>
      </c>
      <c r="L97" s="32"/>
      <c r="M97" s="32" t="b">
        <v>0</v>
      </c>
    </row>
    <row r="98" spans="1:13">
      <c r="A98" s="34">
        <f t="shared" ref="A98:A129" si="3">ROW(A98) - 1</f>
        <v>97</v>
      </c>
      <c r="B98" s="34" t="s">
        <v>60</v>
      </c>
      <c r="C98" s="34" t="s">
        <v>19</v>
      </c>
      <c r="D98" s="34" t="s">
        <v>20</v>
      </c>
      <c r="E98" s="34" t="str">
        <f>Table1[[#This Row],[Merkki]] &amp; " " &amp; Table1[[#This Row],[Malli]]</f>
        <v>Honor X6a</v>
      </c>
      <c r="F98" s="34" t="str">
        <f>Table1[[#This Row],[Liike]] &amp; " " &amp; Table1[[#This Row],[Merkki ja malli]]</f>
        <v>Lahden ATK klinikka Honor X6a</v>
      </c>
      <c r="G98" s="16" t="s">
        <v>26</v>
      </c>
      <c r="H98" s="35"/>
      <c r="I98" s="35" cm="1">
        <f t="array" ref="I98">_xlfn.XLOOKUP(Table1[[#This Row],[Malli]],'Puhelin tuotehinta'!$B$2:$B$49,_xlfn.XLOOKUP(Table1[[#This Row],[Tuote]],'Puhelin tuotehinta'!$C$1:$E$1,'Puhelin tuotehinta'!$C$2:$E$49))</f>
        <v>40</v>
      </c>
      <c r="J98" s="35">
        <f>_xlfn.XLOOKUP(Table1[[#This Row],[Malli]],Table3[Model],Table3[Average Price (EUR)])</f>
        <v>117</v>
      </c>
      <c r="K98" s="32">
        <v>24</v>
      </c>
      <c r="L98" s="32"/>
      <c r="M98" s="32" t="b">
        <v>0</v>
      </c>
    </row>
    <row r="99" spans="1:13">
      <c r="A99" s="34">
        <f t="shared" si="3"/>
        <v>98</v>
      </c>
      <c r="B99" s="34" t="s">
        <v>60</v>
      </c>
      <c r="C99" s="34" t="s">
        <v>19</v>
      </c>
      <c r="D99" s="34" t="s">
        <v>20</v>
      </c>
      <c r="E99" s="34" t="str">
        <f>Table1[[#This Row],[Merkki]] &amp; " " &amp; Table1[[#This Row],[Malli]]</f>
        <v>Honor X6a</v>
      </c>
      <c r="F99" s="34" t="str">
        <f>Table1[[#This Row],[Liike]] &amp; " " &amp; Table1[[#This Row],[Merkki ja malli]]</f>
        <v>Lahden ATK klinikka Honor X6a</v>
      </c>
      <c r="G99" s="16" t="s">
        <v>4</v>
      </c>
      <c r="H99" s="35"/>
      <c r="I99" s="35" cm="1">
        <f t="array" ref="I99">_xlfn.XLOOKUP(Table1[[#This Row],[Malli]],'Puhelin tuotehinta'!$B$2:$B$49,_xlfn.XLOOKUP(Table1[[#This Row],[Tuote]],'Puhelin tuotehinta'!$C$1:$E$1,'Puhelin tuotehinta'!$C$2:$E$49))</f>
        <v>19</v>
      </c>
      <c r="J99" s="35">
        <f>_xlfn.XLOOKUP(Table1[[#This Row],[Malli]],Table3[Model],Table3[Average Price (EUR)])</f>
        <v>117</v>
      </c>
      <c r="K99" s="32">
        <v>24</v>
      </c>
      <c r="L99" s="32"/>
      <c r="M99" s="32" t="b">
        <v>0</v>
      </c>
    </row>
    <row r="100" spans="1:13">
      <c r="A100" s="34">
        <f t="shared" si="3"/>
        <v>99</v>
      </c>
      <c r="B100" s="34" t="s">
        <v>60</v>
      </c>
      <c r="C100" s="34" t="s">
        <v>19</v>
      </c>
      <c r="D100" s="34" t="s">
        <v>20</v>
      </c>
      <c r="E100" s="34" t="str">
        <f>Table1[[#This Row],[Merkki]] &amp; " " &amp; Table1[[#This Row],[Malli]]</f>
        <v>Honor X6a</v>
      </c>
      <c r="F100" s="34" t="str">
        <f>Table1[[#This Row],[Liike]] &amp; " " &amp; Table1[[#This Row],[Merkki ja malli]]</f>
        <v>Lahden ATK klinikka Honor X6a</v>
      </c>
      <c r="G100" s="16" t="s">
        <v>21</v>
      </c>
      <c r="H100" s="35"/>
      <c r="I100" s="35" cm="1">
        <f t="array" ref="I100">_xlfn.XLOOKUP(Table1[[#This Row],[Malli]],'Puhelin tuotehinta'!$B$2:$B$49,_xlfn.XLOOKUP(Table1[[#This Row],[Tuote]],'Puhelin tuotehinta'!$C$1:$E$1,'Puhelin tuotehinta'!$C$2:$E$49))</f>
        <v>23</v>
      </c>
      <c r="J100" s="35">
        <f>_xlfn.XLOOKUP(Table1[[#This Row],[Malli]],Table3[Model],Table3[Average Price (EUR)])</f>
        <v>117</v>
      </c>
      <c r="K100" s="32">
        <v>24</v>
      </c>
      <c r="L100" s="32"/>
      <c r="M100" s="32" t="b">
        <v>0</v>
      </c>
    </row>
    <row r="101" spans="1:13">
      <c r="A101" s="34">
        <f t="shared" si="3"/>
        <v>100</v>
      </c>
      <c r="B101" s="34" t="s">
        <v>60</v>
      </c>
      <c r="C101" s="34" t="s">
        <v>17</v>
      </c>
      <c r="D101" s="34" t="s">
        <v>13</v>
      </c>
      <c r="E101" s="34" t="str">
        <f>Table1[[#This Row],[Merkki]] &amp; " " &amp; Table1[[#This Row],[Malli]]</f>
        <v>OnePlus 12 5G</v>
      </c>
      <c r="F101" s="34" t="str">
        <f>Table1[[#This Row],[Liike]] &amp; " " &amp; Table1[[#This Row],[Merkki ja malli]]</f>
        <v>Lahden ATK klinikka OnePlus 12 5G</v>
      </c>
      <c r="G101" s="16" t="s">
        <v>26</v>
      </c>
      <c r="H101" s="35"/>
      <c r="I101" s="35" cm="1">
        <f t="array" ref="I101">_xlfn.XLOOKUP(Table1[[#This Row],[Malli]],'Puhelin tuotehinta'!$B$2:$B$49,_xlfn.XLOOKUP(Table1[[#This Row],[Tuote]],'Puhelin tuotehinta'!$C$1:$E$1,'Puhelin tuotehinta'!$C$2:$E$49))</f>
        <v>176</v>
      </c>
      <c r="J101" s="35">
        <f>_xlfn.XLOOKUP(Table1[[#This Row],[Malli]],Table3[Model],Table3[Average Price (EUR)])</f>
        <v>649</v>
      </c>
      <c r="K101" s="32">
        <v>24</v>
      </c>
      <c r="L101" s="32"/>
      <c r="M101" s="32" t="b">
        <v>0</v>
      </c>
    </row>
    <row r="102" spans="1:13">
      <c r="A102" s="34">
        <f t="shared" si="3"/>
        <v>101</v>
      </c>
      <c r="B102" s="34" t="s">
        <v>60</v>
      </c>
      <c r="C102" s="34" t="s">
        <v>17</v>
      </c>
      <c r="D102" s="34" t="s">
        <v>13</v>
      </c>
      <c r="E102" s="34" t="str">
        <f>Table1[[#This Row],[Merkki]] &amp; " " &amp; Table1[[#This Row],[Malli]]</f>
        <v>OnePlus 12 5G</v>
      </c>
      <c r="F102" s="34" t="str">
        <f>Table1[[#This Row],[Liike]] &amp; " " &amp; Table1[[#This Row],[Merkki ja malli]]</f>
        <v>Lahden ATK klinikka OnePlus 12 5G</v>
      </c>
      <c r="G102" s="16" t="s">
        <v>4</v>
      </c>
      <c r="H102" s="35"/>
      <c r="I102" s="35" cm="1">
        <f t="array" ref="I102">_xlfn.XLOOKUP(Table1[[#This Row],[Malli]],'Puhelin tuotehinta'!$B$2:$B$49,_xlfn.XLOOKUP(Table1[[#This Row],[Tuote]],'Puhelin tuotehinta'!$C$1:$E$1,'Puhelin tuotehinta'!$C$2:$E$49))</f>
        <v>14</v>
      </c>
      <c r="J102" s="35">
        <f>_xlfn.XLOOKUP(Table1[[#This Row],[Malli]],Table3[Model],Table3[Average Price (EUR)])</f>
        <v>649</v>
      </c>
      <c r="K102" s="32">
        <v>24</v>
      </c>
      <c r="L102" s="32"/>
      <c r="M102" s="32" t="b">
        <v>0</v>
      </c>
    </row>
    <row r="103" spans="1:13">
      <c r="A103" s="34">
        <f t="shared" si="3"/>
        <v>102</v>
      </c>
      <c r="B103" s="34" t="s">
        <v>60</v>
      </c>
      <c r="C103" s="34" t="s">
        <v>17</v>
      </c>
      <c r="D103" s="34" t="s">
        <v>13</v>
      </c>
      <c r="E103" s="34" t="str">
        <f>Table1[[#This Row],[Merkki]] &amp; " " &amp; Table1[[#This Row],[Malli]]</f>
        <v>OnePlus 12 5G</v>
      </c>
      <c r="F103" s="34" t="str">
        <f>Table1[[#This Row],[Liike]] &amp; " " &amp; Table1[[#This Row],[Merkki ja malli]]</f>
        <v>Lahden ATK klinikka OnePlus 12 5G</v>
      </c>
      <c r="G103" s="16" t="s">
        <v>21</v>
      </c>
      <c r="H103" s="35"/>
      <c r="I103" s="35" cm="1">
        <f t="array" ref="I103">_xlfn.XLOOKUP(Table1[[#This Row],[Malli]],'Puhelin tuotehinta'!$B$2:$B$49,_xlfn.XLOOKUP(Table1[[#This Row],[Tuote]],'Puhelin tuotehinta'!$C$1:$E$1,'Puhelin tuotehinta'!$C$2:$E$49))</f>
        <v>15</v>
      </c>
      <c r="J103" s="35">
        <f>_xlfn.XLOOKUP(Table1[[#This Row],[Malli]],Table3[Model],Table3[Average Price (EUR)])</f>
        <v>649</v>
      </c>
      <c r="K103" s="32">
        <v>24</v>
      </c>
      <c r="L103" s="32"/>
      <c r="M103" s="32" t="b">
        <v>0</v>
      </c>
    </row>
    <row r="104" spans="1:13">
      <c r="A104" s="34">
        <f t="shared" si="3"/>
        <v>103</v>
      </c>
      <c r="B104" s="34" t="s">
        <v>60</v>
      </c>
      <c r="C104" s="34" t="s">
        <v>17</v>
      </c>
      <c r="D104" s="34" t="s">
        <v>12</v>
      </c>
      <c r="E104" s="34" t="str">
        <f>Table1[[#This Row],[Merkki]] &amp; " " &amp; Table1[[#This Row],[Malli]]</f>
        <v>OnePlus Nord CE 3 Lite 5G</v>
      </c>
      <c r="F104" s="34" t="str">
        <f>Table1[[#This Row],[Liike]] &amp; " " &amp; Table1[[#This Row],[Merkki ja malli]]</f>
        <v>Lahden ATK klinikka OnePlus Nord CE 3 Lite 5G</v>
      </c>
      <c r="G104" s="16" t="s">
        <v>26</v>
      </c>
      <c r="H104" s="35"/>
      <c r="I104" s="35" cm="1">
        <f t="array" ref="I104">_xlfn.XLOOKUP(Table1[[#This Row],[Malli]],'Puhelin tuotehinta'!$B$2:$B$49,_xlfn.XLOOKUP(Table1[[#This Row],[Tuote]],'Puhelin tuotehinta'!$C$1:$E$1,'Puhelin tuotehinta'!$C$2:$E$49))</f>
        <v>40</v>
      </c>
      <c r="J104" s="35">
        <f>_xlfn.XLOOKUP(Table1[[#This Row],[Malli]],Table3[Model],Table3[Average Price (EUR)])</f>
        <v>249</v>
      </c>
      <c r="K104" s="32">
        <v>24</v>
      </c>
      <c r="L104" s="32"/>
      <c r="M104" s="32" t="b">
        <v>0</v>
      </c>
    </row>
    <row r="105" spans="1:13">
      <c r="A105" s="34">
        <f t="shared" si="3"/>
        <v>104</v>
      </c>
      <c r="B105" s="34" t="s">
        <v>60</v>
      </c>
      <c r="C105" s="34" t="s">
        <v>17</v>
      </c>
      <c r="D105" s="34" t="s">
        <v>12</v>
      </c>
      <c r="E105" s="34" t="str">
        <f>Table1[[#This Row],[Merkki]] &amp; " " &amp; Table1[[#This Row],[Malli]]</f>
        <v>OnePlus Nord CE 3 Lite 5G</v>
      </c>
      <c r="F105" s="34" t="str">
        <f>Table1[[#This Row],[Liike]] &amp; " " &amp; Table1[[#This Row],[Merkki ja malli]]</f>
        <v>Lahden ATK klinikka OnePlus Nord CE 3 Lite 5G</v>
      </c>
      <c r="G105" s="16" t="s">
        <v>4</v>
      </c>
      <c r="H105" s="35"/>
      <c r="I105" s="35" cm="1">
        <f t="array" ref="I105">_xlfn.XLOOKUP(Table1[[#This Row],[Malli]],'Puhelin tuotehinta'!$B$2:$B$49,_xlfn.XLOOKUP(Table1[[#This Row],[Tuote]],'Puhelin tuotehinta'!$C$1:$E$1,'Puhelin tuotehinta'!$C$2:$E$49))</f>
        <v>10</v>
      </c>
      <c r="J105" s="35">
        <f>_xlfn.XLOOKUP(Table1[[#This Row],[Malli]],Table3[Model],Table3[Average Price (EUR)])</f>
        <v>249</v>
      </c>
      <c r="K105" s="32">
        <v>24</v>
      </c>
      <c r="L105" s="32"/>
      <c r="M105" s="32" t="b">
        <v>0</v>
      </c>
    </row>
    <row r="106" spans="1:13">
      <c r="A106" s="34">
        <f t="shared" si="3"/>
        <v>105</v>
      </c>
      <c r="B106" s="34" t="s">
        <v>60</v>
      </c>
      <c r="C106" s="34" t="s">
        <v>17</v>
      </c>
      <c r="D106" s="34" t="s">
        <v>12</v>
      </c>
      <c r="E106" s="34" t="str">
        <f>Table1[[#This Row],[Merkki]] &amp; " " &amp; Table1[[#This Row],[Malli]]</f>
        <v>OnePlus Nord CE 3 Lite 5G</v>
      </c>
      <c r="F106" s="34" t="str">
        <f>Table1[[#This Row],[Liike]] &amp; " " &amp; Table1[[#This Row],[Merkki ja malli]]</f>
        <v>Lahden ATK klinikka OnePlus Nord CE 3 Lite 5G</v>
      </c>
      <c r="G106" s="16" t="s">
        <v>21</v>
      </c>
      <c r="H106" s="35"/>
      <c r="I106" s="35" cm="1">
        <f t="array" ref="I106">_xlfn.XLOOKUP(Table1[[#This Row],[Malli]],'Puhelin tuotehinta'!$B$2:$B$49,_xlfn.XLOOKUP(Table1[[#This Row],[Tuote]],'Puhelin tuotehinta'!$C$1:$E$1,'Puhelin tuotehinta'!$C$2:$E$49))</f>
        <v>15</v>
      </c>
      <c r="J106" s="35">
        <f>_xlfn.XLOOKUP(Table1[[#This Row],[Malli]],Table3[Model],Table3[Average Price (EUR)])</f>
        <v>249</v>
      </c>
      <c r="K106" s="32">
        <v>24</v>
      </c>
      <c r="L106" s="32"/>
      <c r="M106" s="32" t="b">
        <v>0</v>
      </c>
    </row>
    <row r="107" spans="1:13">
      <c r="A107" s="34">
        <f t="shared" si="3"/>
        <v>106</v>
      </c>
      <c r="B107" s="34" t="s">
        <v>60</v>
      </c>
      <c r="C107" s="34" t="s">
        <v>17</v>
      </c>
      <c r="D107" s="34" t="s">
        <v>18</v>
      </c>
      <c r="E107" s="34" t="str">
        <f>Table1[[#This Row],[Merkki]] &amp; " " &amp; Table1[[#This Row],[Malli]]</f>
        <v>OnePlus Nord CE4 Lite 5G</v>
      </c>
      <c r="F107" s="34" t="str">
        <f>Table1[[#This Row],[Liike]] &amp; " " &amp; Table1[[#This Row],[Merkki ja malli]]</f>
        <v>Lahden ATK klinikka OnePlus Nord CE4 Lite 5G</v>
      </c>
      <c r="G107" s="16" t="s">
        <v>26</v>
      </c>
      <c r="H107" s="35"/>
      <c r="I107" s="35" cm="1">
        <f t="array" ref="I107">_xlfn.XLOOKUP(Table1[[#This Row],[Malli]],'Puhelin tuotehinta'!$B$2:$B$49,_xlfn.XLOOKUP(Table1[[#This Row],[Tuote]],'Puhelin tuotehinta'!$C$1:$E$1,'Puhelin tuotehinta'!$C$2:$E$49))</f>
        <v>88</v>
      </c>
      <c r="J107" s="35">
        <f>_xlfn.XLOOKUP(Table1[[#This Row],[Malli]],Table3[Model],Table3[Average Price (EUR)])</f>
        <v>179</v>
      </c>
      <c r="K107" s="32">
        <v>24</v>
      </c>
      <c r="L107" s="32"/>
      <c r="M107" s="32" t="b">
        <v>0</v>
      </c>
    </row>
    <row r="108" spans="1:13">
      <c r="A108" s="34">
        <f t="shared" si="3"/>
        <v>107</v>
      </c>
      <c r="B108" s="34" t="s">
        <v>60</v>
      </c>
      <c r="C108" s="34" t="s">
        <v>17</v>
      </c>
      <c r="D108" s="34" t="s">
        <v>18</v>
      </c>
      <c r="E108" s="34" t="str">
        <f>Table1[[#This Row],[Merkki]] &amp; " " &amp; Table1[[#This Row],[Malli]]</f>
        <v>OnePlus Nord CE4 Lite 5G</v>
      </c>
      <c r="F108" s="34" t="str">
        <f>Table1[[#This Row],[Liike]] &amp; " " &amp; Table1[[#This Row],[Merkki ja malli]]</f>
        <v>Lahden ATK klinikka OnePlus Nord CE4 Lite 5G</v>
      </c>
      <c r="G108" s="16" t="s">
        <v>4</v>
      </c>
      <c r="H108" s="35"/>
      <c r="I108" s="35" cm="1">
        <f t="array" ref="I108">_xlfn.XLOOKUP(Table1[[#This Row],[Malli]],'Puhelin tuotehinta'!$B$2:$B$49,_xlfn.XLOOKUP(Table1[[#This Row],[Tuote]],'Puhelin tuotehinta'!$C$1:$E$1,'Puhelin tuotehinta'!$C$2:$E$49))</f>
        <v>12</v>
      </c>
      <c r="J108" s="35">
        <f>_xlfn.XLOOKUP(Table1[[#This Row],[Malli]],Table3[Model],Table3[Average Price (EUR)])</f>
        <v>179</v>
      </c>
      <c r="K108" s="32">
        <v>24</v>
      </c>
      <c r="L108" s="32"/>
      <c r="M108" s="32" t="b">
        <v>0</v>
      </c>
    </row>
    <row r="109" spans="1:13">
      <c r="A109" s="34">
        <f t="shared" si="3"/>
        <v>108</v>
      </c>
      <c r="B109" s="34" t="s">
        <v>60</v>
      </c>
      <c r="C109" s="34" t="s">
        <v>17</v>
      </c>
      <c r="D109" s="34" t="s">
        <v>18</v>
      </c>
      <c r="E109" s="34" t="str">
        <f>Table1[[#This Row],[Merkki]] &amp; " " &amp; Table1[[#This Row],[Malli]]</f>
        <v>OnePlus Nord CE4 Lite 5G</v>
      </c>
      <c r="F109" s="34" t="str">
        <f>Table1[[#This Row],[Liike]] &amp; " " &amp; Table1[[#This Row],[Merkki ja malli]]</f>
        <v>Lahden ATK klinikka OnePlus Nord CE4 Lite 5G</v>
      </c>
      <c r="G109" s="16" t="s">
        <v>21</v>
      </c>
      <c r="H109" s="35"/>
      <c r="I109" s="35" cm="1">
        <f t="array" ref="I109">_xlfn.XLOOKUP(Table1[[#This Row],[Malli]],'Puhelin tuotehinta'!$B$2:$B$49,_xlfn.XLOOKUP(Table1[[#This Row],[Tuote]],'Puhelin tuotehinta'!$C$1:$E$1,'Puhelin tuotehinta'!$C$2:$E$49))</f>
        <v>15</v>
      </c>
      <c r="J109" s="35">
        <f>_xlfn.XLOOKUP(Table1[[#This Row],[Malli]],Table3[Model],Table3[Average Price (EUR)])</f>
        <v>179</v>
      </c>
      <c r="K109" s="32">
        <v>24</v>
      </c>
      <c r="L109" s="32"/>
      <c r="M109" s="32" t="b">
        <v>0</v>
      </c>
    </row>
    <row r="110" spans="1:13">
      <c r="A110" s="34">
        <f t="shared" si="3"/>
        <v>109</v>
      </c>
      <c r="B110" s="34" t="s">
        <v>60</v>
      </c>
      <c r="C110" s="34" t="s">
        <v>11</v>
      </c>
      <c r="D110" s="34" t="s">
        <v>10</v>
      </c>
      <c r="E110" s="34" t="str">
        <f>Table1[[#This Row],[Merkki]] &amp; " " &amp; Table1[[#This Row],[Malli]]</f>
        <v>Oppo A18</v>
      </c>
      <c r="F110" s="34" t="str">
        <f>Table1[[#This Row],[Liike]] &amp; " " &amp; Table1[[#This Row],[Merkki ja malli]]</f>
        <v>Lahden ATK klinikka Oppo A18</v>
      </c>
      <c r="G110" s="16" t="s">
        <v>26</v>
      </c>
      <c r="H110" s="35"/>
      <c r="I110" s="35" cm="1">
        <f t="array" ref="I110">_xlfn.XLOOKUP(Table1[[#This Row],[Malli]],'Puhelin tuotehinta'!$B$2:$B$49,_xlfn.XLOOKUP(Table1[[#This Row],[Tuote]],'Puhelin tuotehinta'!$C$1:$E$1,'Puhelin tuotehinta'!$C$2:$E$49))</f>
        <v>16</v>
      </c>
      <c r="J110" s="35">
        <f>_xlfn.XLOOKUP(Table1[[#This Row],[Malli]],Table3[Model],Table3[Average Price (EUR)])</f>
        <v>79</v>
      </c>
      <c r="K110" s="32">
        <v>24</v>
      </c>
      <c r="L110" s="32"/>
      <c r="M110" s="32" t="b">
        <v>0</v>
      </c>
    </row>
    <row r="111" spans="1:13">
      <c r="A111" s="34">
        <f t="shared" si="3"/>
        <v>110</v>
      </c>
      <c r="B111" s="34" t="s">
        <v>60</v>
      </c>
      <c r="C111" s="34" t="s">
        <v>11</v>
      </c>
      <c r="D111" s="34" t="s">
        <v>10</v>
      </c>
      <c r="E111" s="34" t="str">
        <f>Table1[[#This Row],[Merkki]] &amp; " " &amp; Table1[[#This Row],[Malli]]</f>
        <v>Oppo A18</v>
      </c>
      <c r="F111" s="34" t="str">
        <f>Table1[[#This Row],[Liike]] &amp; " " &amp; Table1[[#This Row],[Merkki ja malli]]</f>
        <v>Lahden ATK klinikka Oppo A18</v>
      </c>
      <c r="G111" s="16" t="s">
        <v>4</v>
      </c>
      <c r="H111" s="35"/>
      <c r="I111" s="35" cm="1">
        <f t="array" ref="I111">_xlfn.XLOOKUP(Table1[[#This Row],[Malli]],'Puhelin tuotehinta'!$B$2:$B$49,_xlfn.XLOOKUP(Table1[[#This Row],[Tuote]],'Puhelin tuotehinta'!$C$1:$E$1,'Puhelin tuotehinta'!$C$2:$E$49))</f>
        <v>17</v>
      </c>
      <c r="J111" s="35">
        <f>_xlfn.XLOOKUP(Table1[[#This Row],[Malli]],Table3[Model],Table3[Average Price (EUR)])</f>
        <v>79</v>
      </c>
      <c r="K111" s="32">
        <v>24</v>
      </c>
      <c r="L111" s="32"/>
      <c r="M111" s="32" t="b">
        <v>0</v>
      </c>
    </row>
    <row r="112" spans="1:13">
      <c r="A112" s="34">
        <f t="shared" si="3"/>
        <v>111</v>
      </c>
      <c r="B112" s="34" t="s">
        <v>60</v>
      </c>
      <c r="C112" s="34" t="s">
        <v>11</v>
      </c>
      <c r="D112" s="34" t="s">
        <v>10</v>
      </c>
      <c r="E112" s="34" t="str">
        <f>Table1[[#This Row],[Merkki]] &amp; " " &amp; Table1[[#This Row],[Malli]]</f>
        <v>Oppo A18</v>
      </c>
      <c r="F112" s="34" t="str">
        <f>Table1[[#This Row],[Liike]] &amp; " " &amp; Table1[[#This Row],[Merkki ja malli]]</f>
        <v>Lahden ATK klinikka Oppo A18</v>
      </c>
      <c r="G112" s="16" t="s">
        <v>21</v>
      </c>
      <c r="H112" s="35"/>
      <c r="I112" s="35" cm="1">
        <f t="array" ref="I112">_xlfn.XLOOKUP(Table1[[#This Row],[Malli]],'Puhelin tuotehinta'!$B$2:$B$49,_xlfn.XLOOKUP(Table1[[#This Row],[Tuote]],'Puhelin tuotehinta'!$C$1:$E$1,'Puhelin tuotehinta'!$C$2:$E$49))</f>
        <v>17</v>
      </c>
      <c r="J112" s="35">
        <f>_xlfn.XLOOKUP(Table1[[#This Row],[Malli]],Table3[Model],Table3[Average Price (EUR)])</f>
        <v>79</v>
      </c>
      <c r="K112" s="32">
        <v>24</v>
      </c>
      <c r="L112" s="32"/>
      <c r="M112" s="32" t="b">
        <v>0</v>
      </c>
    </row>
    <row r="113" spans="1:13">
      <c r="A113" s="34">
        <f t="shared" si="3"/>
        <v>112</v>
      </c>
      <c r="B113" s="34" t="s">
        <v>60</v>
      </c>
      <c r="C113" s="34" t="s">
        <v>3</v>
      </c>
      <c r="D113" s="34" t="s">
        <v>14</v>
      </c>
      <c r="E113" s="34" t="str">
        <f>Table1[[#This Row],[Merkki]] &amp; " " &amp; Table1[[#This Row],[Malli]]</f>
        <v>Samsung Galaxy A15 5G</v>
      </c>
      <c r="F113" s="34" t="str">
        <f>Table1[[#This Row],[Liike]] &amp; " " &amp; Table1[[#This Row],[Merkki ja malli]]</f>
        <v>Lahden ATK klinikka Samsung Galaxy A15 5G</v>
      </c>
      <c r="G113" s="16" t="s">
        <v>26</v>
      </c>
      <c r="H113" s="35">
        <v>99</v>
      </c>
      <c r="I113" s="35" cm="1">
        <f t="array" ref="I113">_xlfn.XLOOKUP(Table1[[#This Row],[Malli]],'Puhelin tuotehinta'!$B$2:$B$49,_xlfn.XLOOKUP(Table1[[#This Row],[Tuote]],'Puhelin tuotehinta'!$C$1:$E$1,'Puhelin tuotehinta'!$C$2:$E$49))</f>
        <v>27</v>
      </c>
      <c r="J113" s="35">
        <f>_xlfn.XLOOKUP(Table1[[#This Row],[Malli]],Table3[Model],Table3[Average Price (EUR)])</f>
        <v>129</v>
      </c>
      <c r="K113" s="32">
        <v>24</v>
      </c>
      <c r="L113" s="32"/>
      <c r="M113" s="32" t="b">
        <v>0</v>
      </c>
    </row>
    <row r="114" spans="1:13">
      <c r="A114" s="34">
        <f t="shared" si="3"/>
        <v>113</v>
      </c>
      <c r="B114" s="34" t="s">
        <v>60</v>
      </c>
      <c r="C114" s="34" t="s">
        <v>3</v>
      </c>
      <c r="D114" s="34" t="s">
        <v>14</v>
      </c>
      <c r="E114" s="34" t="str">
        <f>Table1[[#This Row],[Merkki]] &amp; " " &amp; Table1[[#This Row],[Malli]]</f>
        <v>Samsung Galaxy A15 5G</v>
      </c>
      <c r="F114" s="34" t="str">
        <f>Table1[[#This Row],[Liike]] &amp; " " &amp; Table1[[#This Row],[Merkki ja malli]]</f>
        <v>Lahden ATK klinikka Samsung Galaxy A15 5G</v>
      </c>
      <c r="G114" s="16" t="s">
        <v>4</v>
      </c>
      <c r="H114" s="35">
        <v>59</v>
      </c>
      <c r="I114" s="35" cm="1">
        <f t="array" ref="I114">_xlfn.XLOOKUP(Table1[[#This Row],[Malli]],'Puhelin tuotehinta'!$B$2:$B$49,_xlfn.XLOOKUP(Table1[[#This Row],[Tuote]],'Puhelin tuotehinta'!$C$1:$E$1,'Puhelin tuotehinta'!$C$2:$E$49))</f>
        <v>18</v>
      </c>
      <c r="J114" s="35">
        <f>_xlfn.XLOOKUP(Table1[[#This Row],[Malli]],Table3[Model],Table3[Average Price (EUR)])</f>
        <v>129</v>
      </c>
      <c r="K114" s="32">
        <v>24</v>
      </c>
      <c r="L114" s="32"/>
      <c r="M114" s="32" t="b">
        <v>0</v>
      </c>
    </row>
    <row r="115" spans="1:13">
      <c r="A115" s="34">
        <f t="shared" si="3"/>
        <v>114</v>
      </c>
      <c r="B115" s="34" t="s">
        <v>60</v>
      </c>
      <c r="C115" s="34" t="s">
        <v>3</v>
      </c>
      <c r="D115" s="34" t="s">
        <v>14</v>
      </c>
      <c r="E115" s="34" t="str">
        <f>Table1[[#This Row],[Merkki]] &amp; " " &amp; Table1[[#This Row],[Malli]]</f>
        <v>Samsung Galaxy A15 5G</v>
      </c>
      <c r="F115" s="34" t="str">
        <f>Table1[[#This Row],[Liike]] &amp; " " &amp; Table1[[#This Row],[Merkki ja malli]]</f>
        <v>Lahden ATK klinikka Samsung Galaxy A15 5G</v>
      </c>
      <c r="G115" s="16" t="s">
        <v>21</v>
      </c>
      <c r="H115" s="35">
        <v>59</v>
      </c>
      <c r="I115" s="35" cm="1">
        <f t="array" ref="I115">_xlfn.XLOOKUP(Table1[[#This Row],[Malli]],'Puhelin tuotehinta'!$B$2:$B$49,_xlfn.XLOOKUP(Table1[[#This Row],[Tuote]],'Puhelin tuotehinta'!$C$1:$E$1,'Puhelin tuotehinta'!$C$2:$E$49))</f>
        <v>11</v>
      </c>
      <c r="J115" s="35">
        <f>_xlfn.XLOOKUP(Table1[[#This Row],[Malli]],Table3[Model],Table3[Average Price (EUR)])</f>
        <v>129</v>
      </c>
      <c r="K115" s="32">
        <v>24</v>
      </c>
      <c r="L115" s="32"/>
      <c r="M115" s="32" t="b">
        <v>0</v>
      </c>
    </row>
    <row r="116" spans="1:13">
      <c r="A116" s="34">
        <f t="shared" si="3"/>
        <v>115</v>
      </c>
      <c r="B116" s="34" t="s">
        <v>60</v>
      </c>
      <c r="C116" s="34" t="s">
        <v>3</v>
      </c>
      <c r="D116" s="34" t="s">
        <v>16</v>
      </c>
      <c r="E116" s="34" t="str">
        <f>Table1[[#This Row],[Merkki]] &amp; " " &amp; Table1[[#This Row],[Malli]]</f>
        <v>Samsung Galaxy A25 5G</v>
      </c>
      <c r="F116" s="34" t="str">
        <f>Table1[[#This Row],[Liike]] &amp; " " &amp; Table1[[#This Row],[Merkki ja malli]]</f>
        <v>Lahden ATK klinikka Samsung Galaxy A25 5G</v>
      </c>
      <c r="G116" s="16" t="s">
        <v>26</v>
      </c>
      <c r="H116" s="35"/>
      <c r="I116" s="35" cm="1">
        <f t="array" ref="I116">_xlfn.XLOOKUP(Table1[[#This Row],[Malli]],'Puhelin tuotehinta'!$B$2:$B$49,_xlfn.XLOOKUP(Table1[[#This Row],[Tuote]],'Puhelin tuotehinta'!$C$1:$E$1,'Puhelin tuotehinta'!$C$2:$E$49))</f>
        <v>49</v>
      </c>
      <c r="J116" s="35">
        <f>_xlfn.XLOOKUP(Table1[[#This Row],[Malli]],Table3[Model],Table3[Average Price (EUR)])</f>
        <v>169</v>
      </c>
      <c r="K116" s="32">
        <v>24</v>
      </c>
      <c r="L116" s="32"/>
      <c r="M116" s="32" t="b">
        <v>0</v>
      </c>
    </row>
    <row r="117" spans="1:13">
      <c r="A117" s="34">
        <f t="shared" si="3"/>
        <v>116</v>
      </c>
      <c r="B117" s="34" t="s">
        <v>60</v>
      </c>
      <c r="C117" s="34" t="s">
        <v>3</v>
      </c>
      <c r="D117" s="34" t="s">
        <v>16</v>
      </c>
      <c r="E117" s="34" t="str">
        <f>Table1[[#This Row],[Merkki]] &amp; " " &amp; Table1[[#This Row],[Malli]]</f>
        <v>Samsung Galaxy A25 5G</v>
      </c>
      <c r="F117" s="34" t="str">
        <f>Table1[[#This Row],[Liike]] &amp; " " &amp; Table1[[#This Row],[Merkki ja malli]]</f>
        <v>Lahden ATK klinikka Samsung Galaxy A25 5G</v>
      </c>
      <c r="G117" s="16" t="s">
        <v>4</v>
      </c>
      <c r="H117" s="35"/>
      <c r="I117" s="35" cm="1">
        <f t="array" ref="I117">_xlfn.XLOOKUP(Table1[[#This Row],[Malli]],'Puhelin tuotehinta'!$B$2:$B$49,_xlfn.XLOOKUP(Table1[[#This Row],[Tuote]],'Puhelin tuotehinta'!$C$1:$E$1,'Puhelin tuotehinta'!$C$2:$E$49))</f>
        <v>10</v>
      </c>
      <c r="J117" s="35">
        <f>_xlfn.XLOOKUP(Table1[[#This Row],[Malli]],Table3[Model],Table3[Average Price (EUR)])</f>
        <v>169</v>
      </c>
      <c r="K117" s="32">
        <v>24</v>
      </c>
      <c r="L117" s="32"/>
      <c r="M117" s="32" t="b">
        <v>0</v>
      </c>
    </row>
    <row r="118" spans="1:13">
      <c r="A118" s="34">
        <f t="shared" si="3"/>
        <v>117</v>
      </c>
      <c r="B118" s="34" t="s">
        <v>60</v>
      </c>
      <c r="C118" s="34" t="s">
        <v>3</v>
      </c>
      <c r="D118" s="34" t="s">
        <v>16</v>
      </c>
      <c r="E118" s="34" t="str">
        <f>Table1[[#This Row],[Merkki]] &amp; " " &amp; Table1[[#This Row],[Malli]]</f>
        <v>Samsung Galaxy A25 5G</v>
      </c>
      <c r="F118" s="34" t="str">
        <f>Table1[[#This Row],[Liike]] &amp; " " &amp; Table1[[#This Row],[Merkki ja malli]]</f>
        <v>Lahden ATK klinikka Samsung Galaxy A25 5G</v>
      </c>
      <c r="G118" s="16" t="s">
        <v>21</v>
      </c>
      <c r="H118" s="35"/>
      <c r="I118" s="35" cm="1">
        <f t="array" ref="I118">_xlfn.XLOOKUP(Table1[[#This Row],[Malli]],'Puhelin tuotehinta'!$B$2:$B$49,_xlfn.XLOOKUP(Table1[[#This Row],[Tuote]],'Puhelin tuotehinta'!$C$1:$E$1,'Puhelin tuotehinta'!$C$2:$E$49))</f>
        <v>18</v>
      </c>
      <c r="J118" s="35">
        <f>_xlfn.XLOOKUP(Table1[[#This Row],[Malli]],Table3[Model],Table3[Average Price (EUR)])</f>
        <v>169</v>
      </c>
      <c r="K118" s="32">
        <v>24</v>
      </c>
      <c r="L118" s="32"/>
      <c r="M118" s="32" t="b">
        <v>0</v>
      </c>
    </row>
    <row r="119" spans="1:13">
      <c r="A119" s="34">
        <f t="shared" si="3"/>
        <v>118</v>
      </c>
      <c r="B119" s="34" t="s">
        <v>60</v>
      </c>
      <c r="C119" s="34" t="s">
        <v>3</v>
      </c>
      <c r="D119" s="34" t="s">
        <v>15</v>
      </c>
      <c r="E119" s="34" t="str">
        <f>Table1[[#This Row],[Merkki]] &amp; " " &amp; Table1[[#This Row],[Malli]]</f>
        <v>Samsung Galaxy A55 5G</v>
      </c>
      <c r="F119" s="34" t="str">
        <f>Table1[[#This Row],[Liike]] &amp; " " &amp; Table1[[#This Row],[Merkki ja malli]]</f>
        <v>Lahden ATK klinikka Samsung Galaxy A55 5G</v>
      </c>
      <c r="G119" s="16" t="s">
        <v>26</v>
      </c>
      <c r="H119" s="35">
        <v>159</v>
      </c>
      <c r="I119" s="35" cm="1">
        <f t="array" ref="I119">_xlfn.XLOOKUP(Table1[[#This Row],[Malli]],'Puhelin tuotehinta'!$B$2:$B$49,_xlfn.XLOOKUP(Table1[[#This Row],[Tuote]],'Puhelin tuotehinta'!$C$1:$E$1,'Puhelin tuotehinta'!$C$2:$E$49))</f>
        <v>66</v>
      </c>
      <c r="J119" s="35">
        <f>_xlfn.XLOOKUP(Table1[[#This Row],[Malli]],Table3[Model],Table3[Average Price (EUR)])</f>
        <v>299</v>
      </c>
      <c r="K119" s="32">
        <v>24</v>
      </c>
      <c r="L119" s="32"/>
      <c r="M119" s="32" t="b">
        <v>0</v>
      </c>
    </row>
    <row r="120" spans="1:13">
      <c r="A120" s="34">
        <f t="shared" si="3"/>
        <v>119</v>
      </c>
      <c r="B120" s="34" t="s">
        <v>60</v>
      </c>
      <c r="C120" s="34" t="s">
        <v>3</v>
      </c>
      <c r="D120" s="34" t="s">
        <v>15</v>
      </c>
      <c r="E120" s="34" t="str">
        <f>Table1[[#This Row],[Merkki]] &amp; " " &amp; Table1[[#This Row],[Malli]]</f>
        <v>Samsung Galaxy A55 5G</v>
      </c>
      <c r="F120" s="34" t="str">
        <f>Table1[[#This Row],[Liike]] &amp; " " &amp; Table1[[#This Row],[Merkki ja malli]]</f>
        <v>Lahden ATK klinikka Samsung Galaxy A55 5G</v>
      </c>
      <c r="G120" s="16" t="s">
        <v>4</v>
      </c>
      <c r="H120" s="35"/>
      <c r="I120" s="35" cm="1">
        <f t="array" ref="I120">_xlfn.XLOOKUP(Table1[[#This Row],[Malli]],'Puhelin tuotehinta'!$B$2:$B$49,_xlfn.XLOOKUP(Table1[[#This Row],[Tuote]],'Puhelin tuotehinta'!$C$1:$E$1,'Puhelin tuotehinta'!$C$2:$E$49))</f>
        <v>25</v>
      </c>
      <c r="J120" s="35">
        <f>_xlfn.XLOOKUP(Table1[[#This Row],[Malli]],Table3[Model],Table3[Average Price (EUR)])</f>
        <v>299</v>
      </c>
      <c r="K120" s="32">
        <v>24</v>
      </c>
      <c r="L120" s="32"/>
      <c r="M120" s="32" t="b">
        <v>0</v>
      </c>
    </row>
    <row r="121" spans="1:13">
      <c r="A121" s="34">
        <f t="shared" si="3"/>
        <v>120</v>
      </c>
      <c r="B121" s="34" t="s">
        <v>60</v>
      </c>
      <c r="C121" s="34" t="s">
        <v>3</v>
      </c>
      <c r="D121" s="34" t="s">
        <v>15</v>
      </c>
      <c r="E121" s="34" t="str">
        <f>Table1[[#This Row],[Merkki]] &amp; " " &amp; Table1[[#This Row],[Malli]]</f>
        <v>Samsung Galaxy A55 5G</v>
      </c>
      <c r="F121" s="34" t="str">
        <f>Table1[[#This Row],[Liike]] &amp; " " &amp; Table1[[#This Row],[Merkki ja malli]]</f>
        <v>Lahden ATK klinikka Samsung Galaxy A55 5G</v>
      </c>
      <c r="G121" s="16" t="s">
        <v>21</v>
      </c>
      <c r="H121" s="35"/>
      <c r="I121" s="35" cm="1">
        <f t="array" ref="I121">_xlfn.XLOOKUP(Table1[[#This Row],[Malli]],'Puhelin tuotehinta'!$B$2:$B$49,_xlfn.XLOOKUP(Table1[[#This Row],[Tuote]],'Puhelin tuotehinta'!$C$1:$E$1,'Puhelin tuotehinta'!$C$2:$E$49))</f>
        <v>28</v>
      </c>
      <c r="J121" s="35">
        <f>_xlfn.XLOOKUP(Table1[[#This Row],[Malli]],Table3[Model],Table3[Average Price (EUR)])</f>
        <v>299</v>
      </c>
      <c r="K121" s="32">
        <v>24</v>
      </c>
      <c r="L121" s="32"/>
      <c r="M121" s="32" t="b">
        <v>0</v>
      </c>
    </row>
    <row r="122" spans="1:13">
      <c r="A122" s="34">
        <f t="shared" si="3"/>
        <v>121</v>
      </c>
      <c r="B122" s="34" t="s">
        <v>41</v>
      </c>
      <c r="C122" s="34" t="s">
        <v>22</v>
      </c>
      <c r="D122" s="34" t="s">
        <v>23</v>
      </c>
      <c r="E122" s="34" t="str">
        <f>Table1[[#This Row],[Merkki]] &amp; " " &amp; Table1[[#This Row],[Malli]]</f>
        <v>Apple iPhone 13 5G</v>
      </c>
      <c r="F122" s="34" t="str">
        <f>Table1[[#This Row],[Liike]] &amp; " " &amp; Table1[[#This Row],[Merkki ja malli]]</f>
        <v>Puhelinhuolto Apple iPhone 13 5G</v>
      </c>
      <c r="G122" s="16" t="s">
        <v>26</v>
      </c>
      <c r="H122" s="35">
        <v>389</v>
      </c>
      <c r="I122" s="35" cm="1">
        <f t="array" ref="I122">_xlfn.XLOOKUP(Table1[[#This Row],[Malli]],'Puhelin tuotehinta'!$B$2:$B$49,_xlfn.XLOOKUP(Table1[[#This Row],[Tuote]],'Puhelin tuotehinta'!$C$1:$E$1,'Puhelin tuotehinta'!$C$2:$E$49))</f>
        <v>181</v>
      </c>
      <c r="J122" s="35">
        <f>_xlfn.XLOOKUP(Table1[[#This Row],[Malli]],Table3[Model],Table3[Average Price (EUR)])</f>
        <v>479</v>
      </c>
      <c r="K122" s="32">
        <v>36</v>
      </c>
      <c r="L122" s="32">
        <v>3</v>
      </c>
      <c r="M122" s="32" t="b">
        <v>1</v>
      </c>
    </row>
    <row r="123" spans="1:13">
      <c r="A123" s="34">
        <f t="shared" si="3"/>
        <v>122</v>
      </c>
      <c r="B123" s="34" t="s">
        <v>41</v>
      </c>
      <c r="C123" s="34" t="s">
        <v>22</v>
      </c>
      <c r="D123" s="34" t="s">
        <v>23</v>
      </c>
      <c r="E123" s="34" t="str">
        <f>Table1[[#This Row],[Merkki]] &amp; " " &amp; Table1[[#This Row],[Malli]]</f>
        <v>Apple iPhone 13 5G</v>
      </c>
      <c r="F123" s="34" t="str">
        <f>Table1[[#This Row],[Liike]] &amp; " " &amp; Table1[[#This Row],[Merkki ja malli]]</f>
        <v>Puhelinhuolto Apple iPhone 13 5G</v>
      </c>
      <c r="G123" s="16" t="s">
        <v>4</v>
      </c>
      <c r="H123" s="35">
        <v>129</v>
      </c>
      <c r="I123" s="35" cm="1">
        <f t="array" ref="I123">_xlfn.XLOOKUP(Table1[[#This Row],[Malli]],'Puhelin tuotehinta'!$B$2:$B$49,_xlfn.XLOOKUP(Table1[[#This Row],[Tuote]],'Puhelin tuotehinta'!$C$1:$E$1,'Puhelin tuotehinta'!$C$2:$E$49))</f>
        <v>27</v>
      </c>
      <c r="J123" s="35">
        <f>_xlfn.XLOOKUP(Table1[[#This Row],[Malli]],Table3[Model],Table3[Average Price (EUR)])</f>
        <v>479</v>
      </c>
      <c r="K123" s="32">
        <v>36</v>
      </c>
      <c r="L123" s="32"/>
      <c r="M123" s="32" t="b">
        <v>1</v>
      </c>
    </row>
    <row r="124" spans="1:13">
      <c r="A124" s="34">
        <f t="shared" si="3"/>
        <v>123</v>
      </c>
      <c r="B124" s="34" t="s">
        <v>41</v>
      </c>
      <c r="C124" s="34" t="s">
        <v>22</v>
      </c>
      <c r="D124" s="34" t="s">
        <v>23</v>
      </c>
      <c r="E124" s="34" t="str">
        <f>Table1[[#This Row],[Merkki]] &amp; " " &amp; Table1[[#This Row],[Malli]]</f>
        <v>Apple iPhone 13 5G</v>
      </c>
      <c r="F124" s="34" t="str">
        <f>Table1[[#This Row],[Liike]] &amp; " " &amp; Table1[[#This Row],[Merkki ja malli]]</f>
        <v>Puhelinhuolto Apple iPhone 13 5G</v>
      </c>
      <c r="G124" s="16" t="s">
        <v>21</v>
      </c>
      <c r="H124" s="35">
        <v>89.99</v>
      </c>
      <c r="I124" s="35" cm="1">
        <f t="array" ref="I124">_xlfn.XLOOKUP(Table1[[#This Row],[Malli]],'Puhelin tuotehinta'!$B$2:$B$49,_xlfn.XLOOKUP(Table1[[#This Row],[Tuote]],'Puhelin tuotehinta'!$C$1:$E$1,'Puhelin tuotehinta'!$C$2:$E$49))</f>
        <v>21</v>
      </c>
      <c r="J124" s="35">
        <f>_xlfn.XLOOKUP(Table1[[#This Row],[Malli]],Table3[Model],Table3[Average Price (EUR)])</f>
        <v>479</v>
      </c>
      <c r="K124" s="32">
        <v>36</v>
      </c>
      <c r="L124" s="32"/>
      <c r="M124" s="32" t="b">
        <v>0</v>
      </c>
    </row>
    <row r="125" spans="1:13">
      <c r="A125" s="34">
        <f t="shared" si="3"/>
        <v>124</v>
      </c>
      <c r="B125" s="34" t="s">
        <v>41</v>
      </c>
      <c r="C125" s="34" t="s">
        <v>22</v>
      </c>
      <c r="D125" s="34" t="s">
        <v>24</v>
      </c>
      <c r="E125" s="34" t="str">
        <f>Table1[[#This Row],[Merkki]] &amp; " " &amp; Table1[[#This Row],[Malli]]</f>
        <v>Apple iPhone 15 Pro 5G</v>
      </c>
      <c r="F125" s="34" t="str">
        <f>Table1[[#This Row],[Liike]] &amp; " " &amp; Table1[[#This Row],[Merkki ja malli]]</f>
        <v>Puhelinhuolto Apple iPhone 15 Pro 5G</v>
      </c>
      <c r="G125" s="16" t="s">
        <v>21</v>
      </c>
      <c r="H125" s="35">
        <v>119</v>
      </c>
      <c r="I125" s="35" cm="1">
        <f t="array" ref="I125">_xlfn.XLOOKUP(Table1[[#This Row],[Malli]],'Puhelin tuotehinta'!$B$2:$B$49,_xlfn.XLOOKUP(Table1[[#This Row],[Tuote]],'Puhelin tuotehinta'!$C$1:$E$1,'Puhelin tuotehinta'!$C$2:$E$49))</f>
        <v>38</v>
      </c>
      <c r="J125" s="35">
        <f>_xlfn.XLOOKUP(Table1[[#This Row],[Malli]],Table3[Model],Table3[Average Price (EUR)])</f>
        <v>1179</v>
      </c>
      <c r="K125" s="32">
        <v>36</v>
      </c>
      <c r="L125" s="32"/>
      <c r="M125" s="32" t="b">
        <v>0</v>
      </c>
    </row>
    <row r="126" spans="1:13">
      <c r="A126" s="34">
        <f t="shared" si="3"/>
        <v>125</v>
      </c>
      <c r="B126" s="34" t="s">
        <v>41</v>
      </c>
      <c r="C126" s="34" t="s">
        <v>22</v>
      </c>
      <c r="D126" s="34" t="s">
        <v>24</v>
      </c>
      <c r="E126" s="34" t="str">
        <f>Table1[[#This Row],[Merkki]] &amp; " " &amp; Table1[[#This Row],[Malli]]</f>
        <v>Apple iPhone 15 Pro 5G</v>
      </c>
      <c r="F126" s="34" t="str">
        <f>Table1[[#This Row],[Liike]] &amp; " " &amp; Table1[[#This Row],[Merkki ja malli]]</f>
        <v>Puhelinhuolto Apple iPhone 15 Pro 5G</v>
      </c>
      <c r="G126" s="16" t="s">
        <v>26</v>
      </c>
      <c r="H126" s="35">
        <v>479</v>
      </c>
      <c r="I126" s="35" cm="1">
        <f t="array" ref="I126">_xlfn.XLOOKUP(Table1[[#This Row],[Malli]],'Puhelin tuotehinta'!$B$2:$B$49,_xlfn.XLOOKUP(Table1[[#This Row],[Tuote]],'Puhelin tuotehinta'!$C$1:$E$1,'Puhelin tuotehinta'!$C$2:$E$49))</f>
        <v>330</v>
      </c>
      <c r="J126" s="35">
        <f>_xlfn.XLOOKUP(Table1[[#This Row],[Malli]],Table3[Model],Table3[Average Price (EUR)])</f>
        <v>1179</v>
      </c>
      <c r="K126" s="32">
        <v>36</v>
      </c>
      <c r="L126" s="32">
        <v>3</v>
      </c>
      <c r="M126" s="32" t="b">
        <v>1</v>
      </c>
    </row>
    <row r="127" spans="1:13">
      <c r="A127" s="34">
        <f t="shared" si="3"/>
        <v>126</v>
      </c>
      <c r="B127" s="34" t="s">
        <v>41</v>
      </c>
      <c r="C127" s="34" t="s">
        <v>22</v>
      </c>
      <c r="D127" s="34" t="s">
        <v>24</v>
      </c>
      <c r="E127" s="34" t="str">
        <f>Table1[[#This Row],[Merkki]] &amp; " " &amp; Table1[[#This Row],[Malli]]</f>
        <v>Apple iPhone 15 Pro 5G</v>
      </c>
      <c r="F127" s="34" t="str">
        <f>Table1[[#This Row],[Liike]] &amp; " " &amp; Table1[[#This Row],[Merkki ja malli]]</f>
        <v>Puhelinhuolto Apple iPhone 15 Pro 5G</v>
      </c>
      <c r="G127" s="16" t="s">
        <v>4</v>
      </c>
      <c r="H127" s="35">
        <v>129</v>
      </c>
      <c r="I127" s="35" cm="1">
        <f t="array" ref="I127">_xlfn.XLOOKUP(Table1[[#This Row],[Malli]],'Puhelin tuotehinta'!$B$2:$B$49,_xlfn.XLOOKUP(Table1[[#This Row],[Tuote]],'Puhelin tuotehinta'!$C$1:$E$1,'Puhelin tuotehinta'!$C$2:$E$49))</f>
        <v>27</v>
      </c>
      <c r="J127" s="35">
        <f>_xlfn.XLOOKUP(Table1[[#This Row],[Malli]],Table3[Model],Table3[Average Price (EUR)])</f>
        <v>1179</v>
      </c>
      <c r="K127" s="32">
        <v>36</v>
      </c>
      <c r="L127" s="32">
        <v>2</v>
      </c>
      <c r="M127" s="32" t="b">
        <v>1</v>
      </c>
    </row>
    <row r="128" spans="1:13">
      <c r="A128" s="34">
        <f t="shared" si="3"/>
        <v>127</v>
      </c>
      <c r="B128" s="34" t="s">
        <v>41</v>
      </c>
      <c r="C128" s="34" t="s">
        <v>19</v>
      </c>
      <c r="D128" s="34" t="s">
        <v>20</v>
      </c>
      <c r="E128" s="34" t="str">
        <f>Table1[[#This Row],[Merkki]] &amp; " " &amp; Table1[[#This Row],[Malli]]</f>
        <v>Honor X6a</v>
      </c>
      <c r="F128" s="34" t="str">
        <f>Table1[[#This Row],[Liike]] &amp; " " &amp; Table1[[#This Row],[Merkki ja malli]]</f>
        <v>Puhelinhuolto Honor X6a</v>
      </c>
      <c r="G128" s="16" t="s">
        <v>21</v>
      </c>
      <c r="H128" s="35">
        <v>49</v>
      </c>
      <c r="I128" s="35" cm="1">
        <f t="array" ref="I128">_xlfn.XLOOKUP(Table1[[#This Row],[Malli]],'Puhelin tuotehinta'!$B$2:$B$49,_xlfn.XLOOKUP(Table1[[#This Row],[Tuote]],'Puhelin tuotehinta'!$C$1:$E$1,'Puhelin tuotehinta'!$C$2:$E$49))</f>
        <v>23</v>
      </c>
      <c r="J128" s="35">
        <f>_xlfn.XLOOKUP(Table1[[#This Row],[Malli]],Table3[Model],Table3[Average Price (EUR)])</f>
        <v>117</v>
      </c>
      <c r="K128" s="32">
        <v>36</v>
      </c>
      <c r="L128" s="32">
        <v>2</v>
      </c>
      <c r="M128" s="32" t="b">
        <v>0</v>
      </c>
    </row>
    <row r="129" spans="1:13">
      <c r="A129" s="34">
        <f t="shared" si="3"/>
        <v>128</v>
      </c>
      <c r="B129" s="34" t="s">
        <v>41</v>
      </c>
      <c r="C129" s="34" t="s">
        <v>19</v>
      </c>
      <c r="D129" s="34" t="s">
        <v>20</v>
      </c>
      <c r="E129" s="34" t="str">
        <f>Table1[[#This Row],[Merkki]] &amp; " " &amp; Table1[[#This Row],[Malli]]</f>
        <v>Honor X6a</v>
      </c>
      <c r="F129" s="34" t="str">
        <f>Table1[[#This Row],[Liike]] &amp; " " &amp; Table1[[#This Row],[Merkki ja malli]]</f>
        <v>Puhelinhuolto Honor X6a</v>
      </c>
      <c r="G129" s="16" t="s">
        <v>26</v>
      </c>
      <c r="H129" s="35">
        <v>69</v>
      </c>
      <c r="I129" s="35" cm="1">
        <f t="array" ref="I129">_xlfn.XLOOKUP(Table1[[#This Row],[Malli]],'Puhelin tuotehinta'!$B$2:$B$49,_xlfn.XLOOKUP(Table1[[#This Row],[Tuote]],'Puhelin tuotehinta'!$C$1:$E$1,'Puhelin tuotehinta'!$C$2:$E$49))</f>
        <v>40</v>
      </c>
      <c r="J129" s="35">
        <f>_xlfn.XLOOKUP(Table1[[#This Row],[Malli]],Table3[Model],Table3[Average Price (EUR)])</f>
        <v>117</v>
      </c>
      <c r="K129" s="32">
        <v>36</v>
      </c>
      <c r="L129" s="32">
        <v>2</v>
      </c>
      <c r="M129" s="32" t="b">
        <v>0</v>
      </c>
    </row>
    <row r="130" spans="1:13">
      <c r="A130" s="34">
        <f t="shared" ref="A130:A151" si="4">ROW(A130) - 1</f>
        <v>129</v>
      </c>
      <c r="B130" s="34" t="s">
        <v>41</v>
      </c>
      <c r="C130" s="34" t="s">
        <v>19</v>
      </c>
      <c r="D130" s="34" t="s">
        <v>20</v>
      </c>
      <c r="E130" s="34" t="str">
        <f>Table1[[#This Row],[Merkki]] &amp; " " &amp; Table1[[#This Row],[Malli]]</f>
        <v>Honor X6a</v>
      </c>
      <c r="F130" s="34" t="str">
        <f>Table1[[#This Row],[Liike]] &amp; " " &amp; Table1[[#This Row],[Merkki ja malli]]</f>
        <v>Puhelinhuolto Honor X6a</v>
      </c>
      <c r="G130" s="16" t="s">
        <v>4</v>
      </c>
      <c r="H130" s="35">
        <v>49</v>
      </c>
      <c r="I130" s="35" cm="1">
        <f t="array" ref="I130">_xlfn.XLOOKUP(Table1[[#This Row],[Malli]],'Puhelin tuotehinta'!$B$2:$B$49,_xlfn.XLOOKUP(Table1[[#This Row],[Tuote]],'Puhelin tuotehinta'!$C$1:$E$1,'Puhelin tuotehinta'!$C$2:$E$49))</f>
        <v>19</v>
      </c>
      <c r="J130" s="35">
        <f>_xlfn.XLOOKUP(Table1[[#This Row],[Malli]],Table3[Model],Table3[Average Price (EUR)])</f>
        <v>117</v>
      </c>
      <c r="K130" s="32">
        <v>36</v>
      </c>
      <c r="L130" s="32">
        <v>1</v>
      </c>
      <c r="M130" s="32" t="b">
        <v>0</v>
      </c>
    </row>
    <row r="131" spans="1:13">
      <c r="A131" s="34">
        <f t="shared" si="4"/>
        <v>130</v>
      </c>
      <c r="B131" s="34" t="s">
        <v>41</v>
      </c>
      <c r="C131" s="34" t="s">
        <v>17</v>
      </c>
      <c r="D131" s="34" t="s">
        <v>13</v>
      </c>
      <c r="E131" s="34" t="str">
        <f>Table1[[#This Row],[Merkki]] &amp; " " &amp; Table1[[#This Row],[Malli]]</f>
        <v>OnePlus 12 5G</v>
      </c>
      <c r="F131" s="34" t="str">
        <f>Table1[[#This Row],[Liike]] &amp; " " &amp; Table1[[#This Row],[Merkki ja malli]]</f>
        <v>Puhelinhuolto OnePlus 12 5G</v>
      </c>
      <c r="G131" s="16" t="s">
        <v>26</v>
      </c>
      <c r="H131" s="35">
        <v>399</v>
      </c>
      <c r="I131" s="35" cm="1">
        <f t="array" ref="I131">_xlfn.XLOOKUP(Table1[[#This Row],[Malli]],'Puhelin tuotehinta'!$B$2:$B$49,_xlfn.XLOOKUP(Table1[[#This Row],[Tuote]],'Puhelin tuotehinta'!$C$1:$E$1,'Puhelin tuotehinta'!$C$2:$E$49))</f>
        <v>176</v>
      </c>
      <c r="J131" s="35">
        <f>_xlfn.XLOOKUP(Table1[[#This Row],[Malli]],Table3[Model],Table3[Average Price (EUR)])</f>
        <v>649</v>
      </c>
      <c r="K131" s="32">
        <v>36</v>
      </c>
      <c r="L131" s="32">
        <v>3</v>
      </c>
      <c r="M131" s="32" t="b">
        <v>0</v>
      </c>
    </row>
    <row r="132" spans="1:13">
      <c r="A132" s="34">
        <f t="shared" si="4"/>
        <v>131</v>
      </c>
      <c r="B132" s="34" t="s">
        <v>41</v>
      </c>
      <c r="C132" s="34" t="s">
        <v>17</v>
      </c>
      <c r="D132" s="34" t="s">
        <v>13</v>
      </c>
      <c r="E132" s="34" t="str">
        <f>Table1[[#This Row],[Merkki]] &amp; " " &amp; Table1[[#This Row],[Malli]]</f>
        <v>OnePlus 12 5G</v>
      </c>
      <c r="F132" s="34" t="str">
        <f>Table1[[#This Row],[Liike]] &amp; " " &amp; Table1[[#This Row],[Merkki ja malli]]</f>
        <v>Puhelinhuolto OnePlus 12 5G</v>
      </c>
      <c r="G132" s="16" t="s">
        <v>4</v>
      </c>
      <c r="H132" s="35">
        <v>79</v>
      </c>
      <c r="I132" s="35" cm="1">
        <f t="array" ref="I132">_xlfn.XLOOKUP(Table1[[#This Row],[Malli]],'Puhelin tuotehinta'!$B$2:$B$49,_xlfn.XLOOKUP(Table1[[#This Row],[Tuote]],'Puhelin tuotehinta'!$C$1:$E$1,'Puhelin tuotehinta'!$C$2:$E$49))</f>
        <v>14</v>
      </c>
      <c r="J132" s="35">
        <f>_xlfn.XLOOKUP(Table1[[#This Row],[Malli]],Table3[Model],Table3[Average Price (EUR)])</f>
        <v>649</v>
      </c>
      <c r="K132" s="32">
        <v>36</v>
      </c>
      <c r="L132" s="32">
        <v>1</v>
      </c>
      <c r="M132" s="32" t="b">
        <v>0</v>
      </c>
    </row>
    <row r="133" spans="1:13">
      <c r="A133" s="34">
        <f t="shared" si="4"/>
        <v>132</v>
      </c>
      <c r="B133" s="34" t="s">
        <v>41</v>
      </c>
      <c r="C133" s="34" t="s">
        <v>17</v>
      </c>
      <c r="D133" s="34" t="s">
        <v>13</v>
      </c>
      <c r="E133" s="34" t="str">
        <f>Table1[[#This Row],[Merkki]] &amp; " " &amp; Table1[[#This Row],[Malli]]</f>
        <v>OnePlus 12 5G</v>
      </c>
      <c r="F133" s="34" t="str">
        <f>Table1[[#This Row],[Liike]] &amp; " " &amp; Table1[[#This Row],[Merkki ja malli]]</f>
        <v>Puhelinhuolto OnePlus 12 5G</v>
      </c>
      <c r="G133" s="16" t="s">
        <v>21</v>
      </c>
      <c r="H133" s="35">
        <v>69</v>
      </c>
      <c r="I133" s="35" cm="1">
        <f t="array" ref="I133">_xlfn.XLOOKUP(Table1[[#This Row],[Malli]],'Puhelin tuotehinta'!$B$2:$B$49,_xlfn.XLOOKUP(Table1[[#This Row],[Tuote]],'Puhelin tuotehinta'!$C$1:$E$1,'Puhelin tuotehinta'!$C$2:$E$49))</f>
        <v>15</v>
      </c>
      <c r="J133" s="35">
        <f>_xlfn.XLOOKUP(Table1[[#This Row],[Malli]],Table3[Model],Table3[Average Price (EUR)])</f>
        <v>649</v>
      </c>
      <c r="K133" s="32">
        <v>36</v>
      </c>
      <c r="L133" s="32">
        <v>2</v>
      </c>
      <c r="M133" s="32" t="b">
        <v>0</v>
      </c>
    </row>
    <row r="134" spans="1:13">
      <c r="A134" s="34">
        <f t="shared" si="4"/>
        <v>133</v>
      </c>
      <c r="B134" s="34" t="s">
        <v>41</v>
      </c>
      <c r="C134" s="34" t="s">
        <v>17</v>
      </c>
      <c r="D134" s="34" t="s">
        <v>12</v>
      </c>
      <c r="E134" s="34" t="str">
        <f>Table1[[#This Row],[Merkki]] &amp; " " &amp; Table1[[#This Row],[Malli]]</f>
        <v>OnePlus Nord CE 3 Lite 5G</v>
      </c>
      <c r="F134" s="34" t="str">
        <f>Table1[[#This Row],[Liike]] &amp; " " &amp; Table1[[#This Row],[Merkki ja malli]]</f>
        <v>Puhelinhuolto OnePlus Nord CE 3 Lite 5G</v>
      </c>
      <c r="G134" s="16" t="s">
        <v>26</v>
      </c>
      <c r="H134" s="35">
        <v>99</v>
      </c>
      <c r="I134" s="35" cm="1">
        <f t="array" ref="I134">_xlfn.XLOOKUP(Table1[[#This Row],[Malli]],'Puhelin tuotehinta'!$B$2:$B$49,_xlfn.XLOOKUP(Table1[[#This Row],[Tuote]],'Puhelin tuotehinta'!$C$1:$E$1,'Puhelin tuotehinta'!$C$2:$E$49))</f>
        <v>40</v>
      </c>
      <c r="J134" s="35">
        <f>_xlfn.XLOOKUP(Table1[[#This Row],[Malli]],Table3[Model],Table3[Average Price (EUR)])</f>
        <v>249</v>
      </c>
      <c r="K134" s="32">
        <v>36</v>
      </c>
      <c r="L134" s="32">
        <v>1</v>
      </c>
      <c r="M134" s="32" t="b">
        <v>0</v>
      </c>
    </row>
    <row r="135" spans="1:13">
      <c r="A135" s="34">
        <f t="shared" si="4"/>
        <v>134</v>
      </c>
      <c r="B135" s="34" t="s">
        <v>41</v>
      </c>
      <c r="C135" s="34" t="s">
        <v>17</v>
      </c>
      <c r="D135" s="34" t="s">
        <v>12</v>
      </c>
      <c r="E135" s="34" t="str">
        <f>Table1[[#This Row],[Merkki]] &amp; " " &amp; Table1[[#This Row],[Malli]]</f>
        <v>OnePlus Nord CE 3 Lite 5G</v>
      </c>
      <c r="F135" s="34" t="str">
        <f>Table1[[#This Row],[Liike]] &amp; " " &amp; Table1[[#This Row],[Merkki ja malli]]</f>
        <v>Puhelinhuolto OnePlus Nord CE 3 Lite 5G</v>
      </c>
      <c r="G135" s="16" t="s">
        <v>4</v>
      </c>
      <c r="H135" s="35">
        <v>59</v>
      </c>
      <c r="I135" s="35" cm="1">
        <f t="array" ref="I135">_xlfn.XLOOKUP(Table1[[#This Row],[Malli]],'Puhelin tuotehinta'!$B$2:$B$49,_xlfn.XLOOKUP(Table1[[#This Row],[Tuote]],'Puhelin tuotehinta'!$C$1:$E$1,'Puhelin tuotehinta'!$C$2:$E$49))</f>
        <v>10</v>
      </c>
      <c r="J135" s="35">
        <f>_xlfn.XLOOKUP(Table1[[#This Row],[Malli]],Table3[Model],Table3[Average Price (EUR)])</f>
        <v>249</v>
      </c>
      <c r="K135" s="32">
        <v>36</v>
      </c>
      <c r="L135" s="32">
        <v>1</v>
      </c>
      <c r="M135" s="32" t="b">
        <v>0</v>
      </c>
    </row>
    <row r="136" spans="1:13">
      <c r="A136" s="34">
        <f t="shared" si="4"/>
        <v>135</v>
      </c>
      <c r="B136" s="34" t="s">
        <v>41</v>
      </c>
      <c r="C136" s="34" t="s">
        <v>17</v>
      </c>
      <c r="D136" s="34" t="s">
        <v>12</v>
      </c>
      <c r="E136" s="34" t="str">
        <f>Table1[[#This Row],[Merkki]] &amp; " " &amp; Table1[[#This Row],[Malli]]</f>
        <v>OnePlus Nord CE 3 Lite 5G</v>
      </c>
      <c r="F136" s="34" t="str">
        <f>Table1[[#This Row],[Liike]] &amp; " " &amp; Table1[[#This Row],[Merkki ja malli]]</f>
        <v>Puhelinhuolto OnePlus Nord CE 3 Lite 5G</v>
      </c>
      <c r="G136" s="16" t="s">
        <v>21</v>
      </c>
      <c r="H136" s="35">
        <v>59</v>
      </c>
      <c r="I136" s="35" cm="1">
        <f t="array" ref="I136">_xlfn.XLOOKUP(Table1[[#This Row],[Malli]],'Puhelin tuotehinta'!$B$2:$B$49,_xlfn.XLOOKUP(Table1[[#This Row],[Tuote]],'Puhelin tuotehinta'!$C$1:$E$1,'Puhelin tuotehinta'!$C$2:$E$49))</f>
        <v>15</v>
      </c>
      <c r="J136" s="35">
        <f>_xlfn.XLOOKUP(Table1[[#This Row],[Malli]],Table3[Model],Table3[Average Price (EUR)])</f>
        <v>249</v>
      </c>
      <c r="K136" s="32">
        <v>36</v>
      </c>
      <c r="L136" s="32">
        <v>2</v>
      </c>
      <c r="M136" s="32" t="b">
        <v>0</v>
      </c>
    </row>
    <row r="137" spans="1:13">
      <c r="A137" s="34">
        <f t="shared" si="4"/>
        <v>136</v>
      </c>
      <c r="B137" s="34" t="s">
        <v>41</v>
      </c>
      <c r="C137" s="34" t="s">
        <v>17</v>
      </c>
      <c r="D137" s="34" t="s">
        <v>18</v>
      </c>
      <c r="E137" s="34" t="str">
        <f>Table1[[#This Row],[Merkki]] &amp; " " &amp; Table1[[#This Row],[Malli]]</f>
        <v>OnePlus Nord CE4 Lite 5G</v>
      </c>
      <c r="F137" s="34" t="str">
        <f>Table1[[#This Row],[Liike]] &amp; " " &amp; Table1[[#This Row],[Merkki ja malli]]</f>
        <v>Puhelinhuolto OnePlus Nord CE4 Lite 5G</v>
      </c>
      <c r="G137" s="16" t="s">
        <v>26</v>
      </c>
      <c r="H137" s="35">
        <v>129</v>
      </c>
      <c r="I137" s="35" cm="1">
        <f t="array" ref="I137">_xlfn.XLOOKUP(Table1[[#This Row],[Malli]],'Puhelin tuotehinta'!$B$2:$B$49,_xlfn.XLOOKUP(Table1[[#This Row],[Tuote]],'Puhelin tuotehinta'!$C$1:$E$1,'Puhelin tuotehinta'!$C$2:$E$49))</f>
        <v>88</v>
      </c>
      <c r="J137" s="35">
        <f>_xlfn.XLOOKUP(Table1[[#This Row],[Malli]],Table3[Model],Table3[Average Price (EUR)])</f>
        <v>179</v>
      </c>
      <c r="K137" s="32">
        <v>36</v>
      </c>
      <c r="L137" s="32">
        <v>1</v>
      </c>
      <c r="M137" s="32" t="b">
        <v>0</v>
      </c>
    </row>
    <row r="138" spans="1:13">
      <c r="A138" s="34">
        <f t="shared" si="4"/>
        <v>137</v>
      </c>
      <c r="B138" s="34" t="s">
        <v>41</v>
      </c>
      <c r="C138" s="34" t="s">
        <v>17</v>
      </c>
      <c r="D138" s="34" t="s">
        <v>18</v>
      </c>
      <c r="E138" s="34" t="str">
        <f>Table1[[#This Row],[Merkki]] &amp; " " &amp; Table1[[#This Row],[Malli]]</f>
        <v>OnePlus Nord CE4 Lite 5G</v>
      </c>
      <c r="F138" s="34" t="str">
        <f>Table1[[#This Row],[Liike]] &amp; " " &amp; Table1[[#This Row],[Merkki ja malli]]</f>
        <v>Puhelinhuolto OnePlus Nord CE4 Lite 5G</v>
      </c>
      <c r="G138" s="16" t="s">
        <v>4</v>
      </c>
      <c r="H138" s="35">
        <v>59</v>
      </c>
      <c r="I138" s="35" cm="1">
        <f t="array" ref="I138">_xlfn.XLOOKUP(Table1[[#This Row],[Malli]],'Puhelin tuotehinta'!$B$2:$B$49,_xlfn.XLOOKUP(Table1[[#This Row],[Tuote]],'Puhelin tuotehinta'!$C$1:$E$1,'Puhelin tuotehinta'!$C$2:$E$49))</f>
        <v>12</v>
      </c>
      <c r="J138" s="35">
        <f>_xlfn.XLOOKUP(Table1[[#This Row],[Malli]],Table3[Model],Table3[Average Price (EUR)])</f>
        <v>179</v>
      </c>
      <c r="K138" s="32">
        <v>36</v>
      </c>
      <c r="L138" s="32">
        <v>1</v>
      </c>
      <c r="M138" s="32" t="b">
        <v>0</v>
      </c>
    </row>
    <row r="139" spans="1:13">
      <c r="A139" s="34">
        <f t="shared" si="4"/>
        <v>138</v>
      </c>
      <c r="B139" s="34" t="s">
        <v>41</v>
      </c>
      <c r="C139" s="34" t="s">
        <v>17</v>
      </c>
      <c r="D139" s="34" t="s">
        <v>18</v>
      </c>
      <c r="E139" s="34" t="str">
        <f>Table1[[#This Row],[Merkki]] &amp; " " &amp; Table1[[#This Row],[Malli]]</f>
        <v>OnePlus Nord CE4 Lite 5G</v>
      </c>
      <c r="F139" s="34" t="str">
        <f>Table1[[#This Row],[Liike]] &amp; " " &amp; Table1[[#This Row],[Merkki ja malli]]</f>
        <v>Puhelinhuolto OnePlus Nord CE4 Lite 5G</v>
      </c>
      <c r="G139" s="16" t="s">
        <v>21</v>
      </c>
      <c r="H139" s="35"/>
      <c r="I139" s="35" cm="1">
        <f t="array" ref="I139">_xlfn.XLOOKUP(Table1[[#This Row],[Malli]],'Puhelin tuotehinta'!$B$2:$B$49,_xlfn.XLOOKUP(Table1[[#This Row],[Tuote]],'Puhelin tuotehinta'!$C$1:$E$1,'Puhelin tuotehinta'!$C$2:$E$49))</f>
        <v>15</v>
      </c>
      <c r="J139" s="35">
        <f>_xlfn.XLOOKUP(Table1[[#This Row],[Malli]],Table3[Model],Table3[Average Price (EUR)])</f>
        <v>179</v>
      </c>
      <c r="K139" s="32">
        <v>36</v>
      </c>
      <c r="L139" s="32">
        <v>2</v>
      </c>
      <c r="M139" s="32" t="b">
        <v>0</v>
      </c>
    </row>
    <row r="140" spans="1:13">
      <c r="A140" s="34">
        <f t="shared" si="4"/>
        <v>139</v>
      </c>
      <c r="B140" s="34" t="s">
        <v>41</v>
      </c>
      <c r="C140" s="34" t="s">
        <v>11</v>
      </c>
      <c r="D140" s="34" t="s">
        <v>10</v>
      </c>
      <c r="E140" s="34" t="str">
        <f>Table1[[#This Row],[Merkki]] &amp; " " &amp; Table1[[#This Row],[Malli]]</f>
        <v>Oppo A18</v>
      </c>
      <c r="F140" s="34" t="str">
        <f>Table1[[#This Row],[Liike]] &amp; " " &amp; Table1[[#This Row],[Merkki ja malli]]</f>
        <v>Puhelinhuolto Oppo A18</v>
      </c>
      <c r="G140" s="16" t="s">
        <v>26</v>
      </c>
      <c r="H140" s="35">
        <v>84</v>
      </c>
      <c r="I140" s="35" cm="1">
        <f t="array" ref="I140">_xlfn.XLOOKUP(Table1[[#This Row],[Malli]],'Puhelin tuotehinta'!$B$2:$B$49,_xlfn.XLOOKUP(Table1[[#This Row],[Tuote]],'Puhelin tuotehinta'!$C$1:$E$1,'Puhelin tuotehinta'!$C$2:$E$49))</f>
        <v>16</v>
      </c>
      <c r="J140" s="35">
        <f>_xlfn.XLOOKUP(Table1[[#This Row],[Malli]],Table3[Model],Table3[Average Price (EUR)])</f>
        <v>79</v>
      </c>
      <c r="K140" s="32">
        <v>36</v>
      </c>
      <c r="L140" s="32">
        <v>1</v>
      </c>
      <c r="M140" s="32" t="b">
        <v>0</v>
      </c>
    </row>
    <row r="141" spans="1:13">
      <c r="A141" s="34">
        <f t="shared" si="4"/>
        <v>140</v>
      </c>
      <c r="B141" s="34" t="s">
        <v>41</v>
      </c>
      <c r="C141" s="34" t="s">
        <v>11</v>
      </c>
      <c r="D141" s="34" t="s">
        <v>10</v>
      </c>
      <c r="E141" s="34" t="str">
        <f>Table1[[#This Row],[Merkki]] &amp; " " &amp; Table1[[#This Row],[Malli]]</f>
        <v>Oppo A18</v>
      </c>
      <c r="F141" s="34" t="str">
        <f>Table1[[#This Row],[Liike]] &amp; " " &amp; Table1[[#This Row],[Merkki ja malli]]</f>
        <v>Puhelinhuolto Oppo A18</v>
      </c>
      <c r="G141" s="16" t="s">
        <v>4</v>
      </c>
      <c r="H141" s="35">
        <v>59</v>
      </c>
      <c r="I141" s="35" cm="1">
        <f t="array" ref="I141">_xlfn.XLOOKUP(Table1[[#This Row],[Malli]],'Puhelin tuotehinta'!$B$2:$B$49,_xlfn.XLOOKUP(Table1[[#This Row],[Tuote]],'Puhelin tuotehinta'!$C$1:$E$1,'Puhelin tuotehinta'!$C$2:$E$49))</f>
        <v>17</v>
      </c>
      <c r="J141" s="35">
        <f>_xlfn.XLOOKUP(Table1[[#This Row],[Malli]],Table3[Model],Table3[Average Price (EUR)])</f>
        <v>79</v>
      </c>
      <c r="K141" s="32">
        <v>36</v>
      </c>
      <c r="L141" s="32">
        <v>1</v>
      </c>
      <c r="M141" s="32" t="b">
        <v>0</v>
      </c>
    </row>
    <row r="142" spans="1:13">
      <c r="A142" s="34">
        <f t="shared" si="4"/>
        <v>141</v>
      </c>
      <c r="B142" s="34" t="s">
        <v>41</v>
      </c>
      <c r="C142" s="34" t="s">
        <v>11</v>
      </c>
      <c r="D142" s="34" t="s">
        <v>10</v>
      </c>
      <c r="E142" s="34" t="str">
        <f>Table1[[#This Row],[Merkki]] &amp; " " &amp; Table1[[#This Row],[Malli]]</f>
        <v>Oppo A18</v>
      </c>
      <c r="F142" s="34" t="str">
        <f>Table1[[#This Row],[Liike]] &amp; " " &amp; Table1[[#This Row],[Merkki ja malli]]</f>
        <v>Puhelinhuolto Oppo A18</v>
      </c>
      <c r="G142" s="16" t="s">
        <v>21</v>
      </c>
      <c r="H142" s="35"/>
      <c r="I142" s="35" cm="1">
        <f t="array" ref="I142">_xlfn.XLOOKUP(Table1[[#This Row],[Malli]],'Puhelin tuotehinta'!$B$2:$B$49,_xlfn.XLOOKUP(Table1[[#This Row],[Tuote]],'Puhelin tuotehinta'!$C$1:$E$1,'Puhelin tuotehinta'!$C$2:$E$49))</f>
        <v>17</v>
      </c>
      <c r="J142" s="35">
        <f>_xlfn.XLOOKUP(Table1[[#This Row],[Malli]],Table3[Model],Table3[Average Price (EUR)])</f>
        <v>79</v>
      </c>
      <c r="K142" s="32">
        <v>36</v>
      </c>
      <c r="L142" s="32">
        <v>2</v>
      </c>
      <c r="M142" s="32" t="b">
        <v>0</v>
      </c>
    </row>
    <row r="143" spans="1:13">
      <c r="A143" s="34">
        <f t="shared" si="4"/>
        <v>142</v>
      </c>
      <c r="B143" s="34" t="s">
        <v>41</v>
      </c>
      <c r="C143" s="34" t="s">
        <v>3</v>
      </c>
      <c r="D143" s="34" t="s">
        <v>14</v>
      </c>
      <c r="E143" s="34" t="str">
        <f>Table1[[#This Row],[Merkki]] &amp; " " &amp; Table1[[#This Row],[Malli]]</f>
        <v>Samsung Galaxy A15 5G</v>
      </c>
      <c r="F143" s="34" t="str">
        <f>Table1[[#This Row],[Liike]] &amp; " " &amp; Table1[[#This Row],[Merkki ja malli]]</f>
        <v>Puhelinhuolto Samsung Galaxy A15 5G</v>
      </c>
      <c r="G143" s="16" t="s">
        <v>26</v>
      </c>
      <c r="H143" s="35">
        <v>94</v>
      </c>
      <c r="I143" s="35" cm="1">
        <f t="array" ref="I143">_xlfn.XLOOKUP(Table1[[#This Row],[Malli]],'Puhelin tuotehinta'!$B$2:$B$49,_xlfn.XLOOKUP(Table1[[#This Row],[Tuote]],'Puhelin tuotehinta'!$C$1:$E$1,'Puhelin tuotehinta'!$C$2:$E$49))</f>
        <v>27</v>
      </c>
      <c r="J143" s="35">
        <f>_xlfn.XLOOKUP(Table1[[#This Row],[Malli]],Table3[Model],Table3[Average Price (EUR)])</f>
        <v>129</v>
      </c>
      <c r="K143" s="32">
        <v>36</v>
      </c>
      <c r="L143" s="32">
        <v>3</v>
      </c>
      <c r="M143" s="32" t="b">
        <v>1</v>
      </c>
    </row>
    <row r="144" spans="1:13">
      <c r="A144" s="34">
        <f t="shared" si="4"/>
        <v>143</v>
      </c>
      <c r="B144" s="34" t="s">
        <v>41</v>
      </c>
      <c r="C144" s="34" t="s">
        <v>3</v>
      </c>
      <c r="D144" s="34" t="s">
        <v>14</v>
      </c>
      <c r="E144" s="34" t="str">
        <f>Table1[[#This Row],[Merkki]] &amp; " " &amp; Table1[[#This Row],[Malli]]</f>
        <v>Samsung Galaxy A15 5G</v>
      </c>
      <c r="F144" s="34" t="str">
        <f>Table1[[#This Row],[Liike]] &amp; " " &amp; Table1[[#This Row],[Merkki ja malli]]</f>
        <v>Puhelinhuolto Samsung Galaxy A15 5G</v>
      </c>
      <c r="G144" s="16" t="s">
        <v>4</v>
      </c>
      <c r="H144" s="35">
        <v>49</v>
      </c>
      <c r="I144" s="35" cm="1">
        <f t="array" ref="I144">_xlfn.XLOOKUP(Table1[[#This Row],[Malli]],'Puhelin tuotehinta'!$B$2:$B$49,_xlfn.XLOOKUP(Table1[[#This Row],[Tuote]],'Puhelin tuotehinta'!$C$1:$E$1,'Puhelin tuotehinta'!$C$2:$E$49))</f>
        <v>18</v>
      </c>
      <c r="J144" s="35">
        <f>_xlfn.XLOOKUP(Table1[[#This Row],[Malli]],Table3[Model],Table3[Average Price (EUR)])</f>
        <v>129</v>
      </c>
      <c r="K144" s="32">
        <v>36</v>
      </c>
      <c r="L144" s="32">
        <v>1</v>
      </c>
      <c r="M144" s="32" t="b">
        <v>0</v>
      </c>
    </row>
    <row r="145" spans="1:13">
      <c r="A145" s="34">
        <f t="shared" si="4"/>
        <v>144</v>
      </c>
      <c r="B145" s="34" t="s">
        <v>41</v>
      </c>
      <c r="C145" s="34" t="s">
        <v>3</v>
      </c>
      <c r="D145" s="34" t="s">
        <v>14</v>
      </c>
      <c r="E145" s="34" t="str">
        <f>Table1[[#This Row],[Merkki]] &amp; " " &amp; Table1[[#This Row],[Malli]]</f>
        <v>Samsung Galaxy A15 5G</v>
      </c>
      <c r="F145" s="34" t="str">
        <f>Table1[[#This Row],[Liike]] &amp; " " &amp; Table1[[#This Row],[Merkki ja malli]]</f>
        <v>Puhelinhuolto Samsung Galaxy A15 5G</v>
      </c>
      <c r="G145" s="16" t="s">
        <v>21</v>
      </c>
      <c r="H145" s="35">
        <v>59</v>
      </c>
      <c r="I145" s="35" cm="1">
        <f t="array" ref="I145">_xlfn.XLOOKUP(Table1[[#This Row],[Malli]],'Puhelin tuotehinta'!$B$2:$B$49,_xlfn.XLOOKUP(Table1[[#This Row],[Tuote]],'Puhelin tuotehinta'!$C$1:$E$1,'Puhelin tuotehinta'!$C$2:$E$49))</f>
        <v>11</v>
      </c>
      <c r="J145" s="35">
        <f>_xlfn.XLOOKUP(Table1[[#This Row],[Malli]],Table3[Model],Table3[Average Price (EUR)])</f>
        <v>129</v>
      </c>
      <c r="K145" s="32">
        <v>36</v>
      </c>
      <c r="L145" s="32">
        <v>2</v>
      </c>
      <c r="M145" s="32" t="b">
        <v>0</v>
      </c>
    </row>
    <row r="146" spans="1:13">
      <c r="A146" s="34">
        <f t="shared" si="4"/>
        <v>145</v>
      </c>
      <c r="B146" s="34" t="s">
        <v>41</v>
      </c>
      <c r="C146" s="34" t="s">
        <v>3</v>
      </c>
      <c r="D146" s="34" t="s">
        <v>16</v>
      </c>
      <c r="E146" s="34" t="str">
        <f>Table1[[#This Row],[Merkki]] &amp; " " &amp; Table1[[#This Row],[Malli]]</f>
        <v>Samsung Galaxy A25 5G</v>
      </c>
      <c r="F146" s="34" t="str">
        <f>Table1[[#This Row],[Liike]] &amp; " " &amp; Table1[[#This Row],[Merkki ja malli]]</f>
        <v>Puhelinhuolto Samsung Galaxy A25 5G</v>
      </c>
      <c r="G146" s="16" t="s">
        <v>26</v>
      </c>
      <c r="H146" s="35">
        <v>119</v>
      </c>
      <c r="I146" s="35" cm="1">
        <f t="array" ref="I146">_xlfn.XLOOKUP(Table1[[#This Row],[Malli]],'Puhelin tuotehinta'!$B$2:$B$49,_xlfn.XLOOKUP(Table1[[#This Row],[Tuote]],'Puhelin tuotehinta'!$C$1:$E$1,'Puhelin tuotehinta'!$C$2:$E$49))</f>
        <v>49</v>
      </c>
      <c r="J146" s="35">
        <f>_xlfn.XLOOKUP(Table1[[#This Row],[Malli]],Table3[Model],Table3[Average Price (EUR)])</f>
        <v>169</v>
      </c>
      <c r="K146" s="32">
        <v>36</v>
      </c>
      <c r="L146" s="32">
        <v>3</v>
      </c>
      <c r="M146" s="32" t="b">
        <v>0</v>
      </c>
    </row>
    <row r="147" spans="1:13">
      <c r="A147" s="34">
        <f t="shared" si="4"/>
        <v>146</v>
      </c>
      <c r="B147" s="34" t="s">
        <v>41</v>
      </c>
      <c r="C147" s="34" t="s">
        <v>3</v>
      </c>
      <c r="D147" s="34" t="s">
        <v>16</v>
      </c>
      <c r="E147" s="34" t="str">
        <f>Table1[[#This Row],[Merkki]] &amp; " " &amp; Table1[[#This Row],[Malli]]</f>
        <v>Samsung Galaxy A25 5G</v>
      </c>
      <c r="F147" s="34" t="str">
        <f>Table1[[#This Row],[Liike]] &amp; " " &amp; Table1[[#This Row],[Merkki ja malli]]</f>
        <v>Puhelinhuolto Samsung Galaxy A25 5G</v>
      </c>
      <c r="G147" s="16" t="s">
        <v>4</v>
      </c>
      <c r="H147" s="35">
        <v>59</v>
      </c>
      <c r="I147" s="35" cm="1">
        <f t="array" ref="I147">_xlfn.XLOOKUP(Table1[[#This Row],[Malli]],'Puhelin tuotehinta'!$B$2:$B$49,_xlfn.XLOOKUP(Table1[[#This Row],[Tuote]],'Puhelin tuotehinta'!$C$1:$E$1,'Puhelin tuotehinta'!$C$2:$E$49))</f>
        <v>10</v>
      </c>
      <c r="J147" s="35">
        <f>_xlfn.XLOOKUP(Table1[[#This Row],[Malli]],Table3[Model],Table3[Average Price (EUR)])</f>
        <v>169</v>
      </c>
      <c r="K147" s="32">
        <v>36</v>
      </c>
      <c r="L147" s="32">
        <v>1</v>
      </c>
      <c r="M147" s="32" t="b">
        <v>0</v>
      </c>
    </row>
    <row r="148" spans="1:13">
      <c r="A148" s="34">
        <f t="shared" si="4"/>
        <v>147</v>
      </c>
      <c r="B148" s="34" t="s">
        <v>41</v>
      </c>
      <c r="C148" s="34" t="s">
        <v>3</v>
      </c>
      <c r="D148" s="34" t="s">
        <v>16</v>
      </c>
      <c r="E148" s="34" t="str">
        <f>Table1[[#This Row],[Merkki]] &amp; " " &amp; Table1[[#This Row],[Malli]]</f>
        <v>Samsung Galaxy A25 5G</v>
      </c>
      <c r="F148" s="34" t="str">
        <f>Table1[[#This Row],[Liike]] &amp; " " &amp; Table1[[#This Row],[Merkki ja malli]]</f>
        <v>Puhelinhuolto Samsung Galaxy A25 5G</v>
      </c>
      <c r="G148" s="16" t="s">
        <v>21</v>
      </c>
      <c r="H148" s="35">
        <v>59</v>
      </c>
      <c r="I148" s="35" cm="1">
        <f t="array" ref="I148">_xlfn.XLOOKUP(Table1[[#This Row],[Malli]],'Puhelin tuotehinta'!$B$2:$B$49,_xlfn.XLOOKUP(Table1[[#This Row],[Tuote]],'Puhelin tuotehinta'!$C$1:$E$1,'Puhelin tuotehinta'!$C$2:$E$49))</f>
        <v>18</v>
      </c>
      <c r="J148" s="35">
        <f>_xlfn.XLOOKUP(Table1[[#This Row],[Malli]],Table3[Model],Table3[Average Price (EUR)])</f>
        <v>169</v>
      </c>
      <c r="K148" s="32">
        <v>36</v>
      </c>
      <c r="L148" s="32">
        <v>2</v>
      </c>
      <c r="M148" s="32" t="b">
        <v>0</v>
      </c>
    </row>
    <row r="149" spans="1:13">
      <c r="A149" s="34">
        <f t="shared" si="4"/>
        <v>148</v>
      </c>
      <c r="B149" s="34" t="s">
        <v>41</v>
      </c>
      <c r="C149" s="34" t="s">
        <v>3</v>
      </c>
      <c r="D149" s="34" t="s">
        <v>15</v>
      </c>
      <c r="E149" s="34" t="str">
        <f>Table1[[#This Row],[Merkki]] &amp; " " &amp; Table1[[#This Row],[Malli]]</f>
        <v>Samsung Galaxy A55 5G</v>
      </c>
      <c r="F149" s="34" t="str">
        <f>Table1[[#This Row],[Liike]] &amp; " " &amp; Table1[[#This Row],[Merkki ja malli]]</f>
        <v>Puhelinhuolto Samsung Galaxy A55 5G</v>
      </c>
      <c r="G149" s="16" t="s">
        <v>21</v>
      </c>
      <c r="H149" s="35">
        <v>59</v>
      </c>
      <c r="I149" s="35" cm="1">
        <f t="array" ref="I149">_xlfn.XLOOKUP(Table1[[#This Row],[Malli]],'Puhelin tuotehinta'!$B$2:$B$49,_xlfn.XLOOKUP(Table1[[#This Row],[Tuote]],'Puhelin tuotehinta'!$C$1:$E$1,'Puhelin tuotehinta'!$C$2:$E$49))</f>
        <v>28</v>
      </c>
      <c r="J149" s="35">
        <f>_xlfn.XLOOKUP(Table1[[#This Row],[Malli]],Table3[Model],Table3[Average Price (EUR)])</f>
        <v>299</v>
      </c>
      <c r="K149" s="32">
        <v>36</v>
      </c>
      <c r="L149" s="32">
        <v>2</v>
      </c>
      <c r="M149" s="32" t="b">
        <v>0</v>
      </c>
    </row>
    <row r="150" spans="1:13">
      <c r="A150" s="34">
        <f t="shared" si="4"/>
        <v>149</v>
      </c>
      <c r="B150" s="34" t="s">
        <v>41</v>
      </c>
      <c r="C150" s="34" t="s">
        <v>3</v>
      </c>
      <c r="D150" s="34" t="s">
        <v>15</v>
      </c>
      <c r="E150" s="34" t="str">
        <f>Table1[[#This Row],[Merkki]] &amp; " " &amp; Table1[[#This Row],[Malli]]</f>
        <v>Samsung Galaxy A55 5G</v>
      </c>
      <c r="F150" s="34" t="str">
        <f>Table1[[#This Row],[Liike]] &amp; " " &amp; Table1[[#This Row],[Merkki ja malli]]</f>
        <v>Puhelinhuolto Samsung Galaxy A55 5G</v>
      </c>
      <c r="G150" s="16" t="s">
        <v>26</v>
      </c>
      <c r="H150" s="35">
        <v>149</v>
      </c>
      <c r="I150" s="35" cm="1">
        <f t="array" ref="I150">_xlfn.XLOOKUP(Table1[[#This Row],[Malli]],'Puhelin tuotehinta'!$B$2:$B$49,_xlfn.XLOOKUP(Table1[[#This Row],[Tuote]],'Puhelin tuotehinta'!$C$1:$E$1,'Puhelin tuotehinta'!$C$2:$E$49))</f>
        <v>66</v>
      </c>
      <c r="J150" s="35">
        <f>_xlfn.XLOOKUP(Table1[[#This Row],[Malli]],Table3[Model],Table3[Average Price (EUR)])</f>
        <v>299</v>
      </c>
      <c r="K150" s="32">
        <v>36</v>
      </c>
      <c r="L150" s="32">
        <v>3</v>
      </c>
      <c r="M150" s="32" t="b">
        <v>0</v>
      </c>
    </row>
    <row r="151" spans="1:13">
      <c r="A151" s="34">
        <f t="shared" si="4"/>
        <v>150</v>
      </c>
      <c r="B151" s="34" t="s">
        <v>41</v>
      </c>
      <c r="C151" s="34" t="s">
        <v>3</v>
      </c>
      <c r="D151" s="34" t="s">
        <v>15</v>
      </c>
      <c r="E151" s="34" t="str">
        <f>Table1[[#This Row],[Merkki]] &amp; " " &amp; Table1[[#This Row],[Malli]]</f>
        <v>Samsung Galaxy A55 5G</v>
      </c>
      <c r="F151" s="34" t="str">
        <f>Table1[[#This Row],[Liike]] &amp; " " &amp; Table1[[#This Row],[Merkki ja malli]]</f>
        <v>Puhelinhuolto Samsung Galaxy A55 5G</v>
      </c>
      <c r="G151" s="16" t="s">
        <v>4</v>
      </c>
      <c r="H151" s="35">
        <v>59</v>
      </c>
      <c r="I151" s="35" cm="1">
        <f t="array" ref="I151">_xlfn.XLOOKUP(Table1[[#This Row],[Malli]],'Puhelin tuotehinta'!$B$2:$B$49,_xlfn.XLOOKUP(Table1[[#This Row],[Tuote]],'Puhelin tuotehinta'!$C$1:$E$1,'Puhelin tuotehinta'!$C$2:$E$49))</f>
        <v>25</v>
      </c>
      <c r="J151" s="35">
        <f>_xlfn.XLOOKUP(Table1[[#This Row],[Malli]],Table3[Model],Table3[Average Price (EUR)])</f>
        <v>299</v>
      </c>
      <c r="K151" s="32">
        <v>36</v>
      </c>
      <c r="L151" s="32">
        <v>1</v>
      </c>
      <c r="M151" s="32" t="b">
        <v>0</v>
      </c>
    </row>
  </sheetData>
  <phoneticPr fontId="1" type="noConversion"/>
  <conditionalFormatting sqref="G1:G151 H152:H1048576">
    <cfRule type="containsText" dxfId="2" priority="1" operator="containsText" text="Näyttö">
      <formula>NOT(ISERROR(SEARCH("Näyttö",G1)))</formula>
    </cfRule>
    <cfRule type="containsText" dxfId="1" priority="2" operator="containsText" text="Latausportti">
      <formula>NOT(ISERROR(SEARCH("Latausportti",G1)))</formula>
    </cfRule>
    <cfRule type="containsText" dxfId="0" priority="3" operator="containsText" text="Akku">
      <formula>NOT(ISERROR(SEARCH("Akku",G1)))</formula>
    </cfRule>
  </conditionalFormatting>
  <hyperlinks>
    <hyperlink ref="P1" r:id="rId1" location=":~:text=DNA%3An%20kuluttaja%2Dasiakasmyynniss%C3%A4%20vuoden,5G%20sek%C3%A4%20Apple%20iPhone%2013." xr:uid="{087568EA-AA8C-4087-954E-C2ADFEF23E0A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DEB7-7C2F-40E5-A486-9C95C2A08CAD}">
  <dimension ref="A1:M76"/>
  <sheetViews>
    <sheetView tabSelected="1" topLeftCell="A15" zoomScaleNormal="100" workbookViewId="0">
      <selection activeCell="B15" sqref="B1:B1048576"/>
    </sheetView>
  </sheetViews>
  <sheetFormatPr defaultRowHeight="15"/>
  <cols>
    <col min="1" max="2" width="25.7109375" customWidth="1"/>
    <col min="3" max="3" width="21.85546875" customWidth="1"/>
    <col min="4" max="4" width="33.42578125" customWidth="1"/>
    <col min="5" max="5" width="42.140625" customWidth="1"/>
    <col min="6" max="6" width="70.140625" customWidth="1"/>
    <col min="7" max="7" width="13.7109375" customWidth="1"/>
    <col min="8" max="8" width="33.140625" style="29" customWidth="1"/>
    <col min="9" max="9" width="31" style="29" customWidth="1"/>
    <col min="10" max="10" width="24.5703125" style="29" customWidth="1"/>
    <col min="11" max="11" width="29.5703125" customWidth="1"/>
    <col min="12" max="12" width="35.28515625" customWidth="1"/>
    <col min="13" max="13" width="36.85546875" customWidth="1"/>
  </cols>
  <sheetData>
    <row r="1" spans="1:13" ht="18.75">
      <c r="A1" s="12" t="s">
        <v>39</v>
      </c>
      <c r="B1" s="12" t="s">
        <v>0</v>
      </c>
      <c r="C1" s="12" t="s">
        <v>8</v>
      </c>
      <c r="D1" s="12" t="s">
        <v>9</v>
      </c>
      <c r="E1" s="12" t="s">
        <v>40</v>
      </c>
      <c r="F1" s="12" t="s">
        <v>46</v>
      </c>
      <c r="G1" s="12" t="s">
        <v>1</v>
      </c>
      <c r="H1" s="33" t="s">
        <v>56</v>
      </c>
      <c r="I1" s="28" t="s">
        <v>29</v>
      </c>
      <c r="J1" s="28" t="s">
        <v>57</v>
      </c>
      <c r="K1" s="25" t="s">
        <v>6</v>
      </c>
      <c r="L1" s="25" t="s">
        <v>30</v>
      </c>
      <c r="M1" s="25" t="s">
        <v>7</v>
      </c>
    </row>
    <row r="2" spans="1:13">
      <c r="A2">
        <f t="shared" ref="A2:A46" si="0">ROW(A2) - 1</f>
        <v>1</v>
      </c>
      <c r="B2" t="s">
        <v>2</v>
      </c>
      <c r="C2" t="s">
        <v>22</v>
      </c>
      <c r="D2" t="s">
        <v>51</v>
      </c>
      <c r="E2" t="str">
        <f>Table4[[#This Row],[Merkki]] &amp; " " &amp; Table4[[#This Row],[Malli]]</f>
        <v>Apple Watch SE GPS</v>
      </c>
      <c r="F2" t="str">
        <f xml:space="preserve"> Table4[[#This Row],[Liike]] &amp; " " &amp; Table4[[#This Row],[Merkki ja malli]]</f>
        <v>Fonum Apple Watch SE GPS</v>
      </c>
      <c r="G2" t="s">
        <v>26</v>
      </c>
      <c r="I2" s="29" cm="1">
        <f t="array" ref="I2">_xlfn.XLOOKUP(Table4[[#This Row],[Malli]],'Älykello tuotehinta'!$A$2:$A$6,_xlfn.XLOOKUP(Table4[[#This Row],[Tuote]],'Älykello tuotehinta'!$B$1:$D$1,'Älykello tuotehinta'!$B$2:$D$6))</f>
        <v>100</v>
      </c>
      <c r="J2" s="29">
        <f>_xlfn.XLOOKUP(Table4[[#This Row],[Malli]],'Älykellon Hinta'!$B$2:$B$6,'Älykellon Hinta'!$C$2:$C$6)</f>
        <v>275</v>
      </c>
    </row>
    <row r="3" spans="1:13">
      <c r="A3">
        <f t="shared" si="0"/>
        <v>2</v>
      </c>
      <c r="B3" t="s">
        <v>2</v>
      </c>
      <c r="C3" t="s">
        <v>22</v>
      </c>
      <c r="D3" t="s">
        <v>51</v>
      </c>
      <c r="E3" t="str">
        <f>Table4[[#This Row],[Merkki]] &amp; " " &amp; Table4[[#This Row],[Malli]]</f>
        <v>Apple Watch SE GPS</v>
      </c>
      <c r="F3" t="str">
        <f xml:space="preserve"> Table4[[#This Row],[Liike]] &amp; " " &amp; Table4[[#This Row],[Merkki ja malli]]</f>
        <v>Fonum Apple Watch SE GPS</v>
      </c>
      <c r="G3" t="s">
        <v>4</v>
      </c>
      <c r="I3" s="29" cm="1">
        <f t="array" ref="I3">_xlfn.XLOOKUP(Table4[[#This Row],[Malli]],'Älykello tuotehinta'!$A$2:$A$6,_xlfn.XLOOKUP(Table4[[#This Row],[Tuote]],'Älykello tuotehinta'!$B$1:$D$1,'Älykello tuotehinta'!$B$2:$D$6))</f>
        <v>73</v>
      </c>
      <c r="J3" s="29">
        <f>_xlfn.XLOOKUP(Table4[[#This Row],[Malli]],'Älykellon Hinta'!$B$2:$B$6,'Älykellon Hinta'!$C$2:$C$6)</f>
        <v>275</v>
      </c>
    </row>
    <row r="4" spans="1:13">
      <c r="A4">
        <f t="shared" si="0"/>
        <v>3</v>
      </c>
      <c r="B4" t="s">
        <v>2</v>
      </c>
      <c r="C4" t="s">
        <v>22</v>
      </c>
      <c r="D4" t="s">
        <v>51</v>
      </c>
      <c r="E4" t="str">
        <f>Table4[[#This Row],[Merkki]] &amp; " " &amp; Table4[[#This Row],[Malli]]</f>
        <v>Apple Watch SE GPS</v>
      </c>
      <c r="F4" t="str">
        <f xml:space="preserve"> Table4[[#This Row],[Liike]] &amp; " " &amp; Table4[[#This Row],[Merkki ja malli]]</f>
        <v>Fonum Apple Watch SE GPS</v>
      </c>
      <c r="G4" t="s">
        <v>52</v>
      </c>
      <c r="I4" s="29" cm="1">
        <f t="array" ref="I4">_xlfn.XLOOKUP(Table4[[#This Row],[Malli]],'Älykello tuotehinta'!$A$2:$A$6,_xlfn.XLOOKUP(Table4[[#This Row],[Tuote]],'Älykello tuotehinta'!$B$1:$D$1,'Älykello tuotehinta'!$B$2:$D$6))</f>
        <v>25</v>
      </c>
      <c r="J4" s="29">
        <f>_xlfn.XLOOKUP(Table4[[#This Row],[Malli]],'Älykellon Hinta'!$B$2:$B$6,'Älykellon Hinta'!$C$2:$C$6)</f>
        <v>275</v>
      </c>
    </row>
    <row r="5" spans="1:13">
      <c r="A5">
        <f t="shared" si="0"/>
        <v>4</v>
      </c>
      <c r="B5" t="s">
        <v>2</v>
      </c>
      <c r="C5" t="s">
        <v>22</v>
      </c>
      <c r="D5" t="s">
        <v>49</v>
      </c>
      <c r="E5" t="str">
        <f>Table4[[#This Row],[Merkki]] &amp; " " &amp; Table4[[#This Row],[Malli]]</f>
        <v>Apple Watch Series 9 GPS + Cellular</v>
      </c>
      <c r="F5" t="str">
        <f xml:space="preserve"> Table4[[#This Row],[Liike]] &amp; " " &amp; Table4[[#This Row],[Merkki ja malli]]</f>
        <v>Fonum Apple Watch Series 9 GPS + Cellular</v>
      </c>
      <c r="G5" t="s">
        <v>26</v>
      </c>
      <c r="I5" s="29" cm="1">
        <f t="array" ref="I5">_xlfn.XLOOKUP(Table4[[#This Row],[Malli]],'Älykello tuotehinta'!$A$2:$A$6,_xlfn.XLOOKUP(Table4[[#This Row],[Tuote]],'Älykello tuotehinta'!$B$1:$D$1,'Älykello tuotehinta'!$B$2:$D$6))</f>
        <v>230</v>
      </c>
      <c r="J5" s="29">
        <f>_xlfn.XLOOKUP(Table4[[#This Row],[Malli]],'Älykellon Hinta'!$B$2:$B$6,'Älykellon Hinta'!$C$2:$C$6)</f>
        <v>575</v>
      </c>
    </row>
    <row r="6" spans="1:13">
      <c r="A6">
        <f t="shared" si="0"/>
        <v>5</v>
      </c>
      <c r="B6" t="s">
        <v>2</v>
      </c>
      <c r="C6" t="s">
        <v>22</v>
      </c>
      <c r="D6" t="s">
        <v>49</v>
      </c>
      <c r="E6" t="str">
        <f>Table4[[#This Row],[Merkki]] &amp; " " &amp; Table4[[#This Row],[Malli]]</f>
        <v>Apple Watch Series 9 GPS + Cellular</v>
      </c>
      <c r="F6" t="str">
        <f xml:space="preserve"> Table4[[#This Row],[Liike]] &amp; " " &amp; Table4[[#This Row],[Merkki ja malli]]</f>
        <v>Fonum Apple Watch Series 9 GPS + Cellular</v>
      </c>
      <c r="G6" t="s">
        <v>4</v>
      </c>
      <c r="I6" s="29" cm="1">
        <f t="array" ref="I6">_xlfn.XLOOKUP(Table4[[#This Row],[Malli]],'Älykello tuotehinta'!$A$2:$A$6,_xlfn.XLOOKUP(Table4[[#This Row],[Tuote]],'Älykello tuotehinta'!$B$1:$D$1,'Älykello tuotehinta'!$B$2:$D$6))</f>
        <v>85</v>
      </c>
      <c r="J6" s="29">
        <f>_xlfn.XLOOKUP(Table4[[#This Row],[Malli]],'Älykellon Hinta'!$B$2:$B$6,'Älykellon Hinta'!$C$2:$C$6)</f>
        <v>575</v>
      </c>
    </row>
    <row r="7" spans="1:13">
      <c r="A7">
        <f t="shared" si="0"/>
        <v>6</v>
      </c>
      <c r="B7" t="s">
        <v>2</v>
      </c>
      <c r="C7" t="s">
        <v>22</v>
      </c>
      <c r="D7" t="s">
        <v>49</v>
      </c>
      <c r="E7" t="str">
        <f>Table4[[#This Row],[Merkki]] &amp; " " &amp; Table4[[#This Row],[Malli]]</f>
        <v>Apple Watch Series 9 GPS + Cellular</v>
      </c>
      <c r="F7" t="str">
        <f xml:space="preserve"> Table4[[#This Row],[Liike]] &amp; " " &amp; Table4[[#This Row],[Merkki ja malli]]</f>
        <v>Fonum Apple Watch Series 9 GPS + Cellular</v>
      </c>
      <c r="G7" t="s">
        <v>52</v>
      </c>
      <c r="I7" s="29" cm="1">
        <f t="array" ref="I7">_xlfn.XLOOKUP(Table4[[#This Row],[Malli]],'Älykello tuotehinta'!$A$2:$A$6,_xlfn.XLOOKUP(Table4[[#This Row],[Tuote]],'Älykello tuotehinta'!$B$1:$D$1,'Älykello tuotehinta'!$B$2:$D$6))</f>
        <v>65</v>
      </c>
      <c r="J7" s="29">
        <f>_xlfn.XLOOKUP(Table4[[#This Row],[Malli]],'Älykellon Hinta'!$B$2:$B$6,'Älykellon Hinta'!$C$2:$C$6)</f>
        <v>575</v>
      </c>
    </row>
    <row r="8" spans="1:13">
      <c r="A8">
        <f t="shared" si="0"/>
        <v>7</v>
      </c>
      <c r="B8" t="s">
        <v>2</v>
      </c>
      <c r="C8" t="s">
        <v>54</v>
      </c>
      <c r="D8" t="s">
        <v>55</v>
      </c>
      <c r="E8" t="str">
        <f>Table4[[#This Row],[Merkki]] &amp; " " &amp; Table4[[#This Row],[Malli]]</f>
        <v>Huawei Watch Fit 3</v>
      </c>
      <c r="F8" t="str">
        <f xml:space="preserve"> Table4[[#This Row],[Liike]] &amp; " " &amp; Table4[[#This Row],[Merkki ja malli]]</f>
        <v>Fonum Huawei Watch Fit 3</v>
      </c>
      <c r="G8" t="s">
        <v>26</v>
      </c>
      <c r="I8" s="29" cm="1">
        <f t="array" ref="I8">_xlfn.XLOOKUP(Table4[[#This Row],[Malli]],'Älykello tuotehinta'!$A$2:$A$6,_xlfn.XLOOKUP(Table4[[#This Row],[Tuote]],'Älykello tuotehinta'!$B$1:$D$1,'Älykello tuotehinta'!$B$2:$D$6))</f>
        <v>52</v>
      </c>
      <c r="J8" s="29">
        <f>_xlfn.XLOOKUP(Table4[[#This Row],[Malli]],'Älykellon Hinta'!$B$2:$B$6,'Älykellon Hinta'!$C$2:$C$6)</f>
        <v>137</v>
      </c>
    </row>
    <row r="9" spans="1:13">
      <c r="A9">
        <f t="shared" si="0"/>
        <v>8</v>
      </c>
      <c r="B9" t="s">
        <v>2</v>
      </c>
      <c r="C9" t="s">
        <v>54</v>
      </c>
      <c r="D9" t="s">
        <v>55</v>
      </c>
      <c r="E9" t="str">
        <f>Table4[[#This Row],[Merkki]] &amp; " " &amp; Table4[[#This Row],[Malli]]</f>
        <v>Huawei Watch Fit 3</v>
      </c>
      <c r="F9" t="str">
        <f xml:space="preserve"> Table4[[#This Row],[Liike]] &amp; " " &amp; Table4[[#This Row],[Merkki ja malli]]</f>
        <v>Fonum Huawei Watch Fit 3</v>
      </c>
      <c r="G9" t="s">
        <v>4</v>
      </c>
      <c r="I9" s="29" cm="1">
        <f t="array" ref="I9">_xlfn.XLOOKUP(Table4[[#This Row],[Malli]],'Älykello tuotehinta'!$A$2:$A$6,_xlfn.XLOOKUP(Table4[[#This Row],[Tuote]],'Älykello tuotehinta'!$B$1:$D$1,'Älykello tuotehinta'!$B$2:$D$6))</f>
        <v>8</v>
      </c>
      <c r="J9" s="29">
        <f>_xlfn.XLOOKUP(Table4[[#This Row],[Malli]],'Älykellon Hinta'!$B$2:$B$6,'Älykellon Hinta'!$C$2:$C$6)</f>
        <v>137</v>
      </c>
    </row>
    <row r="10" spans="1:13">
      <c r="A10">
        <f t="shared" si="0"/>
        <v>9</v>
      </c>
      <c r="B10" t="s">
        <v>2</v>
      </c>
      <c r="C10" t="s">
        <v>54</v>
      </c>
      <c r="D10" t="s">
        <v>55</v>
      </c>
      <c r="E10" t="str">
        <f>Table4[[#This Row],[Merkki]] &amp; " " &amp; Table4[[#This Row],[Malli]]</f>
        <v>Huawei Watch Fit 3</v>
      </c>
      <c r="F10" t="str">
        <f xml:space="preserve"> Table4[[#This Row],[Liike]] &amp; " " &amp; Table4[[#This Row],[Merkki ja malli]]</f>
        <v>Fonum Huawei Watch Fit 3</v>
      </c>
      <c r="G10" t="s">
        <v>52</v>
      </c>
      <c r="I10" s="29" cm="1">
        <f t="array" ref="I10">_xlfn.XLOOKUP(Table4[[#This Row],[Malli]],'Älykello tuotehinta'!$A$2:$A$6,_xlfn.XLOOKUP(Table4[[#This Row],[Tuote]],'Älykello tuotehinta'!$B$1:$D$1,'Älykello tuotehinta'!$B$2:$D$6))</f>
        <v>34</v>
      </c>
      <c r="J10" s="29">
        <f>_xlfn.XLOOKUP(Table4[[#This Row],[Malli]],'Älykellon Hinta'!$B$2:$B$6,'Älykellon Hinta'!$C$2:$C$6)</f>
        <v>137</v>
      </c>
    </row>
    <row r="11" spans="1:13">
      <c r="A11">
        <f t="shared" si="0"/>
        <v>10</v>
      </c>
      <c r="B11" t="s">
        <v>2</v>
      </c>
      <c r="C11" t="s">
        <v>17</v>
      </c>
      <c r="D11" t="s">
        <v>50</v>
      </c>
      <c r="E11" t="str">
        <f>Table4[[#This Row],[Merkki]] &amp; " " &amp; Table4[[#This Row],[Malli]]</f>
        <v>OnePlus Watch 2</v>
      </c>
      <c r="F11" t="str">
        <f xml:space="preserve"> Table4[[#This Row],[Liike]] &amp; " " &amp; Table4[[#This Row],[Merkki ja malli]]</f>
        <v>Fonum OnePlus Watch 2</v>
      </c>
      <c r="G11" t="s">
        <v>26</v>
      </c>
      <c r="I11" s="29" cm="1">
        <f t="array" ref="I11">_xlfn.XLOOKUP(Table4[[#This Row],[Malli]],'Älykello tuotehinta'!$A$2:$A$6,_xlfn.XLOOKUP(Table4[[#This Row],[Tuote]],'Älykello tuotehinta'!$B$1:$D$1,'Älykello tuotehinta'!$B$2:$D$6))</f>
        <v>64</v>
      </c>
      <c r="J11" s="29">
        <f>_xlfn.XLOOKUP(Table4[[#This Row],[Malli]],'Älykellon Hinta'!$B$2:$B$6,'Älykellon Hinta'!$C$2:$C$6)</f>
        <v>254</v>
      </c>
    </row>
    <row r="12" spans="1:13">
      <c r="A12">
        <f t="shared" si="0"/>
        <v>11</v>
      </c>
      <c r="B12" t="s">
        <v>2</v>
      </c>
      <c r="C12" t="s">
        <v>17</v>
      </c>
      <c r="D12" t="s">
        <v>50</v>
      </c>
      <c r="E12" t="str">
        <f>Table4[[#This Row],[Merkki]] &amp; " " &amp; Table4[[#This Row],[Malli]]</f>
        <v>OnePlus Watch 2</v>
      </c>
      <c r="F12" t="str">
        <f xml:space="preserve"> Table4[[#This Row],[Liike]] &amp; " " &amp; Table4[[#This Row],[Merkki ja malli]]</f>
        <v>Fonum OnePlus Watch 2</v>
      </c>
      <c r="G12" t="s">
        <v>4</v>
      </c>
      <c r="I12" s="29" cm="1">
        <f t="array" ref="I12">_xlfn.XLOOKUP(Table4[[#This Row],[Malli]],'Älykello tuotehinta'!$A$2:$A$6,_xlfn.XLOOKUP(Table4[[#This Row],[Tuote]],'Älykello tuotehinta'!$B$1:$D$1,'Älykello tuotehinta'!$B$2:$D$6))</f>
        <v>18</v>
      </c>
      <c r="J12" s="29">
        <f>_xlfn.XLOOKUP(Table4[[#This Row],[Malli]],'Älykellon Hinta'!$B$2:$B$6,'Älykellon Hinta'!$C$2:$C$6)</f>
        <v>254</v>
      </c>
    </row>
    <row r="13" spans="1:13">
      <c r="A13">
        <f t="shared" si="0"/>
        <v>12</v>
      </c>
      <c r="B13" t="s">
        <v>2</v>
      </c>
      <c r="C13" t="s">
        <v>17</v>
      </c>
      <c r="D13" t="s">
        <v>50</v>
      </c>
      <c r="E13" t="str">
        <f>Table4[[#This Row],[Merkki]] &amp; " " &amp; Table4[[#This Row],[Malli]]</f>
        <v>OnePlus Watch 2</v>
      </c>
      <c r="F13" t="str">
        <f xml:space="preserve"> Table4[[#This Row],[Liike]] &amp; " " &amp; Table4[[#This Row],[Merkki ja malli]]</f>
        <v>Fonum OnePlus Watch 2</v>
      </c>
      <c r="G13" t="s">
        <v>52</v>
      </c>
      <c r="I13" s="29" cm="1">
        <f t="array" ref="I13">_xlfn.XLOOKUP(Table4[[#This Row],[Malli]],'Älykello tuotehinta'!$A$2:$A$6,_xlfn.XLOOKUP(Table4[[#This Row],[Tuote]],'Älykello tuotehinta'!$B$1:$D$1,'Älykello tuotehinta'!$B$2:$D$6))</f>
        <v>13</v>
      </c>
      <c r="J13" s="29">
        <f>_xlfn.XLOOKUP(Table4[[#This Row],[Malli]],'Älykellon Hinta'!$B$2:$B$6,'Älykellon Hinta'!$C$2:$C$6)</f>
        <v>254</v>
      </c>
    </row>
    <row r="14" spans="1:13">
      <c r="A14">
        <f t="shared" si="0"/>
        <v>13</v>
      </c>
      <c r="B14" t="s">
        <v>2</v>
      </c>
      <c r="C14" t="s">
        <v>47</v>
      </c>
      <c r="D14" t="s">
        <v>48</v>
      </c>
      <c r="E14" t="str">
        <f>Table4[[#This Row],[Merkki]] &amp; " " &amp; Table4[[#This Row],[Malli]]</f>
        <v>Xplora Watch XGO3 4G – lasten kellopuhelin</v>
      </c>
      <c r="F14" t="str">
        <f xml:space="preserve"> Table4[[#This Row],[Liike]] &amp; " " &amp; Table4[[#This Row],[Merkki ja malli]]</f>
        <v>Fonum Xplora Watch XGO3 4G – lasten kellopuhelin</v>
      </c>
      <c r="G14" t="s">
        <v>26</v>
      </c>
      <c r="I14" s="29" cm="1">
        <f t="array" ref="I14">_xlfn.XLOOKUP(Table4[[#This Row],[Malli]],'Älykello tuotehinta'!$A$2:$A$6,_xlfn.XLOOKUP(Table4[[#This Row],[Tuote]],'Älykello tuotehinta'!$B$1:$D$1,'Älykello tuotehinta'!$B$2:$D$6))</f>
        <v>40</v>
      </c>
      <c r="J14" s="29">
        <f>_xlfn.XLOOKUP(Table4[[#This Row],[Malli]],'Älykellon Hinta'!$B$2:$B$6,'Älykellon Hinta'!$C$2:$C$6)</f>
        <v>134</v>
      </c>
    </row>
    <row r="15" spans="1:13">
      <c r="A15">
        <f t="shared" si="0"/>
        <v>14</v>
      </c>
      <c r="B15" t="s">
        <v>2</v>
      </c>
      <c r="C15" t="s">
        <v>47</v>
      </c>
      <c r="D15" t="s">
        <v>48</v>
      </c>
      <c r="E15" t="str">
        <f>Table4[[#This Row],[Merkki]] &amp; " " &amp; Table4[[#This Row],[Malli]]</f>
        <v>Xplora Watch XGO3 4G – lasten kellopuhelin</v>
      </c>
      <c r="F15" t="str">
        <f xml:space="preserve"> Table4[[#This Row],[Liike]] &amp; " " &amp; Table4[[#This Row],[Merkki ja malli]]</f>
        <v>Fonum Xplora Watch XGO3 4G – lasten kellopuhelin</v>
      </c>
      <c r="G15" t="s">
        <v>4</v>
      </c>
      <c r="I15" s="29" cm="1">
        <f t="array" ref="I15">_xlfn.XLOOKUP(Table4[[#This Row],[Malli]],'Älykello tuotehinta'!$A$2:$A$6,_xlfn.XLOOKUP(Table4[[#This Row],[Tuote]],'Älykello tuotehinta'!$B$1:$D$1,'Älykello tuotehinta'!$B$2:$D$6))</f>
        <v>24</v>
      </c>
      <c r="J15" s="29">
        <f>_xlfn.XLOOKUP(Table4[[#This Row],[Malli]],'Älykellon Hinta'!$B$2:$B$6,'Älykellon Hinta'!$C$2:$C$6)</f>
        <v>134</v>
      </c>
    </row>
    <row r="16" spans="1:13">
      <c r="A16">
        <f t="shared" si="0"/>
        <v>15</v>
      </c>
      <c r="B16" t="s">
        <v>2</v>
      </c>
      <c r="C16" t="s">
        <v>47</v>
      </c>
      <c r="D16" t="s">
        <v>48</v>
      </c>
      <c r="E16" t="str">
        <f>Table4[[#This Row],[Merkki]] &amp; " " &amp; Table4[[#This Row],[Malli]]</f>
        <v>Xplora Watch XGO3 4G – lasten kellopuhelin</v>
      </c>
      <c r="F16" t="str">
        <f xml:space="preserve"> Table4[[#This Row],[Liike]] &amp; " " &amp; Table4[[#This Row],[Merkki ja malli]]</f>
        <v>Fonum Xplora Watch XGO3 4G – lasten kellopuhelin</v>
      </c>
      <c r="G16" t="s">
        <v>52</v>
      </c>
      <c r="I16" s="29" cm="1">
        <f t="array" ref="I16">_xlfn.XLOOKUP(Table4[[#This Row],[Malli]],'Älykello tuotehinta'!$A$2:$A$6,_xlfn.XLOOKUP(Table4[[#This Row],[Tuote]],'Älykello tuotehinta'!$B$1:$D$1,'Älykello tuotehinta'!$B$2:$D$6))</f>
        <v>11</v>
      </c>
      <c r="J16" s="29">
        <f>_xlfn.XLOOKUP(Table4[[#This Row],[Malli]],'Älykellon Hinta'!$B$2:$B$6,'Älykellon Hinta'!$C$2:$C$6)</f>
        <v>134</v>
      </c>
    </row>
    <row r="17" spans="1:13">
      <c r="A17">
        <f t="shared" si="0"/>
        <v>16</v>
      </c>
      <c r="B17" t="s">
        <v>53</v>
      </c>
      <c r="C17" t="s">
        <v>22</v>
      </c>
      <c r="D17" t="s">
        <v>51</v>
      </c>
      <c r="E17" t="str">
        <f>Table4[[#This Row],[Merkki]] &amp; " " &amp; Table4[[#This Row],[Malli]]</f>
        <v>Apple Watch SE GPS</v>
      </c>
      <c r="F17" t="str">
        <f xml:space="preserve"> Table4[[#This Row],[Liike]] &amp; " " &amp; Table4[[#This Row],[Merkki ja malli]]</f>
        <v>Handleit Apple Watch SE GPS</v>
      </c>
      <c r="G17" t="s">
        <v>26</v>
      </c>
      <c r="H17" s="29">
        <v>189</v>
      </c>
      <c r="I17" s="29" cm="1">
        <f t="array" ref="I17">_xlfn.XLOOKUP(Table4[[#This Row],[Malli]],'Älykello tuotehinta'!$A$2:$A$6,_xlfn.XLOOKUP(Table4[[#This Row],[Tuote]],'Älykello tuotehinta'!$B$1:$D$1,'Älykello tuotehinta'!$B$2:$D$6))</f>
        <v>100</v>
      </c>
      <c r="J17" s="29">
        <f>_xlfn.XLOOKUP(Table4[[#This Row],[Malli]],'Älykellon Hinta'!$B$2:$B$6,'Älykellon Hinta'!$C$2:$C$6)</f>
        <v>275</v>
      </c>
      <c r="K17">
        <v>24</v>
      </c>
      <c r="M17" t="b">
        <v>0</v>
      </c>
    </row>
    <row r="18" spans="1:13">
      <c r="A18">
        <f t="shared" si="0"/>
        <v>17</v>
      </c>
      <c r="B18" t="s">
        <v>53</v>
      </c>
      <c r="C18" t="s">
        <v>22</v>
      </c>
      <c r="D18" t="s">
        <v>51</v>
      </c>
      <c r="E18" t="str">
        <f>Table4[[#This Row],[Merkki]] &amp; " " &amp; Table4[[#This Row],[Malli]]</f>
        <v>Apple Watch SE GPS</v>
      </c>
      <c r="F18" t="str">
        <f xml:space="preserve"> Table4[[#This Row],[Liike]] &amp; " " &amp; Table4[[#This Row],[Merkki ja malli]]</f>
        <v>Handleit Apple Watch SE GPS</v>
      </c>
      <c r="G18" t="s">
        <v>4</v>
      </c>
      <c r="H18" s="29">
        <v>99</v>
      </c>
      <c r="I18" s="29" cm="1">
        <f t="array" ref="I18">_xlfn.XLOOKUP(Table4[[#This Row],[Malli]],'Älykello tuotehinta'!$A$2:$A$6,_xlfn.XLOOKUP(Table4[[#This Row],[Tuote]],'Älykello tuotehinta'!$B$1:$D$1,'Älykello tuotehinta'!$B$2:$D$6))</f>
        <v>73</v>
      </c>
      <c r="J18" s="29">
        <f>_xlfn.XLOOKUP(Table4[[#This Row],[Malli]],'Älykellon Hinta'!$B$2:$B$6,'Älykellon Hinta'!$C$2:$C$6)</f>
        <v>275</v>
      </c>
      <c r="K18">
        <v>6</v>
      </c>
      <c r="M18" t="b">
        <v>0</v>
      </c>
    </row>
    <row r="19" spans="1:13">
      <c r="A19">
        <f t="shared" si="0"/>
        <v>18</v>
      </c>
      <c r="B19" t="s">
        <v>53</v>
      </c>
      <c r="C19" t="s">
        <v>22</v>
      </c>
      <c r="D19" t="s">
        <v>51</v>
      </c>
      <c r="E19" t="str">
        <f>Table4[[#This Row],[Merkki]] &amp; " " &amp; Table4[[#This Row],[Malli]]</f>
        <v>Apple Watch SE GPS</v>
      </c>
      <c r="F19" t="str">
        <f xml:space="preserve"> Table4[[#This Row],[Liike]] &amp; " " &amp; Table4[[#This Row],[Merkki ja malli]]</f>
        <v>Handleit Apple Watch SE GPS</v>
      </c>
      <c r="G19" t="s">
        <v>52</v>
      </c>
      <c r="H19" s="29">
        <v>199</v>
      </c>
      <c r="I19" s="29" cm="1">
        <f t="array" ref="I19">_xlfn.XLOOKUP(Table4[[#This Row],[Malli]],'Älykello tuotehinta'!$A$2:$A$6,_xlfn.XLOOKUP(Table4[[#This Row],[Tuote]],'Älykello tuotehinta'!$B$1:$D$1,'Älykello tuotehinta'!$B$2:$D$6))</f>
        <v>25</v>
      </c>
      <c r="J19" s="29">
        <f>_xlfn.XLOOKUP(Table4[[#This Row],[Malli]],'Älykellon Hinta'!$B$2:$B$6,'Älykellon Hinta'!$C$2:$C$6)</f>
        <v>275</v>
      </c>
      <c r="K19">
        <v>24</v>
      </c>
      <c r="M19" t="b">
        <v>0</v>
      </c>
    </row>
    <row r="20" spans="1:13">
      <c r="A20">
        <f t="shared" si="0"/>
        <v>19</v>
      </c>
      <c r="B20" t="s">
        <v>53</v>
      </c>
      <c r="C20" t="s">
        <v>22</v>
      </c>
      <c r="D20" t="s">
        <v>49</v>
      </c>
      <c r="E20" t="str">
        <f>Table4[[#This Row],[Merkki]] &amp; " " &amp; Table4[[#This Row],[Malli]]</f>
        <v>Apple Watch Series 9 GPS + Cellular</v>
      </c>
      <c r="F20" t="str">
        <f xml:space="preserve"> Table4[[#This Row],[Liike]] &amp; " " &amp; Table4[[#This Row],[Merkki ja malli]]</f>
        <v>Handleit Apple Watch Series 9 GPS + Cellular</v>
      </c>
      <c r="G20" t="s">
        <v>26</v>
      </c>
      <c r="H20" s="29">
        <v>299</v>
      </c>
      <c r="I20" s="29" cm="1">
        <f t="array" ref="I20">_xlfn.XLOOKUP(Table4[[#This Row],[Malli]],'Älykello tuotehinta'!$A$2:$A$6,_xlfn.XLOOKUP(Table4[[#This Row],[Tuote]],'Älykello tuotehinta'!$B$1:$D$1,'Älykello tuotehinta'!$B$2:$D$6))</f>
        <v>230</v>
      </c>
      <c r="J20" s="29">
        <f>_xlfn.XLOOKUP(Table4[[#This Row],[Malli]],'Älykellon Hinta'!$B$2:$B$6,'Älykellon Hinta'!$C$2:$C$6)</f>
        <v>575</v>
      </c>
      <c r="K20">
        <v>24</v>
      </c>
      <c r="M20" t="b">
        <v>0</v>
      </c>
    </row>
    <row r="21" spans="1:13">
      <c r="A21">
        <f t="shared" si="0"/>
        <v>20</v>
      </c>
      <c r="B21" t="s">
        <v>53</v>
      </c>
      <c r="C21" t="s">
        <v>22</v>
      </c>
      <c r="D21" t="s">
        <v>49</v>
      </c>
      <c r="E21" t="str">
        <f>Table4[[#This Row],[Merkki]] &amp; " " &amp; Table4[[#This Row],[Malli]]</f>
        <v>Apple Watch Series 9 GPS + Cellular</v>
      </c>
      <c r="F21" t="str">
        <f xml:space="preserve"> Table4[[#This Row],[Liike]] &amp; " " &amp; Table4[[#This Row],[Merkki ja malli]]</f>
        <v>Handleit Apple Watch Series 9 GPS + Cellular</v>
      </c>
      <c r="G21" t="s">
        <v>4</v>
      </c>
      <c r="H21" s="29">
        <v>99</v>
      </c>
      <c r="I21" s="29" cm="1">
        <f t="array" ref="I21">_xlfn.XLOOKUP(Table4[[#This Row],[Malli]],'Älykello tuotehinta'!$A$2:$A$6,_xlfn.XLOOKUP(Table4[[#This Row],[Tuote]],'Älykello tuotehinta'!$B$1:$D$1,'Älykello tuotehinta'!$B$2:$D$6))</f>
        <v>85</v>
      </c>
      <c r="J21" s="29">
        <f>_xlfn.XLOOKUP(Table4[[#This Row],[Malli]],'Älykellon Hinta'!$B$2:$B$6,'Älykellon Hinta'!$C$2:$C$6)</f>
        <v>575</v>
      </c>
      <c r="K21">
        <v>6</v>
      </c>
      <c r="M21" t="b">
        <v>0</v>
      </c>
    </row>
    <row r="22" spans="1:13">
      <c r="A22">
        <f t="shared" si="0"/>
        <v>21</v>
      </c>
      <c r="B22" t="s">
        <v>53</v>
      </c>
      <c r="C22" t="s">
        <v>22</v>
      </c>
      <c r="D22" t="s">
        <v>49</v>
      </c>
      <c r="E22" t="str">
        <f>Table4[[#This Row],[Merkki]] &amp; " " &amp; Table4[[#This Row],[Malli]]</f>
        <v>Apple Watch Series 9 GPS + Cellular</v>
      </c>
      <c r="F22" t="str">
        <f xml:space="preserve"> Table4[[#This Row],[Liike]] &amp; " " &amp; Table4[[#This Row],[Merkki ja malli]]</f>
        <v>Handleit Apple Watch Series 9 GPS + Cellular</v>
      </c>
      <c r="G22" t="s">
        <v>52</v>
      </c>
      <c r="H22" s="29">
        <v>189</v>
      </c>
      <c r="I22" s="29" cm="1">
        <f t="array" ref="I22">_xlfn.XLOOKUP(Table4[[#This Row],[Malli]],'Älykello tuotehinta'!$A$2:$A$6,_xlfn.XLOOKUP(Table4[[#This Row],[Tuote]],'Älykello tuotehinta'!$B$1:$D$1,'Älykello tuotehinta'!$B$2:$D$6))</f>
        <v>65</v>
      </c>
      <c r="J22" s="29">
        <f>_xlfn.XLOOKUP(Table4[[#This Row],[Malli]],'Älykellon Hinta'!$B$2:$B$6,'Älykellon Hinta'!$C$2:$C$6)</f>
        <v>575</v>
      </c>
      <c r="K22">
        <v>24</v>
      </c>
      <c r="M22" t="b">
        <v>0</v>
      </c>
    </row>
    <row r="23" spans="1:13">
      <c r="A23">
        <f t="shared" si="0"/>
        <v>22</v>
      </c>
      <c r="B23" t="s">
        <v>53</v>
      </c>
      <c r="C23" t="s">
        <v>54</v>
      </c>
      <c r="D23" t="s">
        <v>55</v>
      </c>
      <c r="E23" t="str">
        <f>Table4[[#This Row],[Merkki]] &amp; " " &amp; Table4[[#This Row],[Malli]]</f>
        <v>Huawei Watch Fit 3</v>
      </c>
      <c r="F23" t="str">
        <f xml:space="preserve"> Table4[[#This Row],[Liike]] &amp; " " &amp; Table4[[#This Row],[Merkki ja malli]]</f>
        <v>Handleit Huawei Watch Fit 3</v>
      </c>
      <c r="G23" t="s">
        <v>26</v>
      </c>
      <c r="I23" s="29" cm="1">
        <f t="array" ref="I23">_xlfn.XLOOKUP(Table4[[#This Row],[Malli]],'Älykello tuotehinta'!$A$2:$A$6,_xlfn.XLOOKUP(Table4[[#This Row],[Tuote]],'Älykello tuotehinta'!$B$1:$D$1,'Älykello tuotehinta'!$B$2:$D$6))</f>
        <v>52</v>
      </c>
      <c r="J23" s="29">
        <f>_xlfn.XLOOKUP(Table4[[#This Row],[Malli]],'Älykellon Hinta'!$B$2:$B$6,'Älykellon Hinta'!$C$2:$C$6)</f>
        <v>137</v>
      </c>
    </row>
    <row r="24" spans="1:13">
      <c r="A24">
        <f t="shared" si="0"/>
        <v>23</v>
      </c>
      <c r="B24" t="s">
        <v>53</v>
      </c>
      <c r="C24" t="s">
        <v>54</v>
      </c>
      <c r="D24" t="s">
        <v>55</v>
      </c>
      <c r="E24" t="str">
        <f>Table4[[#This Row],[Merkki]] &amp; " " &amp; Table4[[#This Row],[Malli]]</f>
        <v>Huawei Watch Fit 3</v>
      </c>
      <c r="F24" t="str">
        <f xml:space="preserve"> Table4[[#This Row],[Liike]] &amp; " " &amp; Table4[[#This Row],[Merkki ja malli]]</f>
        <v>Handleit Huawei Watch Fit 3</v>
      </c>
      <c r="G24" t="s">
        <v>4</v>
      </c>
      <c r="I24" s="29" cm="1">
        <f t="array" ref="I24">_xlfn.XLOOKUP(Table4[[#This Row],[Malli]],'Älykello tuotehinta'!$A$2:$A$6,_xlfn.XLOOKUP(Table4[[#This Row],[Tuote]],'Älykello tuotehinta'!$B$1:$D$1,'Älykello tuotehinta'!$B$2:$D$6))</f>
        <v>8</v>
      </c>
      <c r="J24" s="29">
        <f>_xlfn.XLOOKUP(Table4[[#This Row],[Malli]],'Älykellon Hinta'!$B$2:$B$6,'Älykellon Hinta'!$C$2:$C$6)</f>
        <v>137</v>
      </c>
    </row>
    <row r="25" spans="1:13">
      <c r="A25">
        <f t="shared" si="0"/>
        <v>24</v>
      </c>
      <c r="B25" t="s">
        <v>53</v>
      </c>
      <c r="C25" t="s">
        <v>54</v>
      </c>
      <c r="D25" t="s">
        <v>55</v>
      </c>
      <c r="E25" t="str">
        <f>Table4[[#This Row],[Merkki]] &amp; " " &amp; Table4[[#This Row],[Malli]]</f>
        <v>Huawei Watch Fit 3</v>
      </c>
      <c r="F25" t="str">
        <f xml:space="preserve"> Table4[[#This Row],[Liike]] &amp; " " &amp; Table4[[#This Row],[Merkki ja malli]]</f>
        <v>Handleit Huawei Watch Fit 3</v>
      </c>
      <c r="G25" t="s">
        <v>52</v>
      </c>
      <c r="I25" s="29" cm="1">
        <f t="array" ref="I25">_xlfn.XLOOKUP(Table4[[#This Row],[Malli]],'Älykello tuotehinta'!$A$2:$A$6,_xlfn.XLOOKUP(Table4[[#This Row],[Tuote]],'Älykello tuotehinta'!$B$1:$D$1,'Älykello tuotehinta'!$B$2:$D$6))</f>
        <v>34</v>
      </c>
      <c r="J25" s="29">
        <f>_xlfn.XLOOKUP(Table4[[#This Row],[Malli]],'Älykellon Hinta'!$B$2:$B$6,'Älykellon Hinta'!$C$2:$C$6)</f>
        <v>137</v>
      </c>
    </row>
    <row r="26" spans="1:13">
      <c r="A26">
        <f t="shared" si="0"/>
        <v>25</v>
      </c>
      <c r="B26" t="s">
        <v>53</v>
      </c>
      <c r="C26" t="s">
        <v>17</v>
      </c>
      <c r="D26" t="s">
        <v>50</v>
      </c>
      <c r="E26" t="str">
        <f>Table4[[#This Row],[Merkki]] &amp; " " &amp; Table4[[#This Row],[Malli]]</f>
        <v>OnePlus Watch 2</v>
      </c>
      <c r="F26" t="str">
        <f xml:space="preserve"> Table4[[#This Row],[Liike]] &amp; " " &amp; Table4[[#This Row],[Merkki ja malli]]</f>
        <v>Handleit OnePlus Watch 2</v>
      </c>
      <c r="G26" t="s">
        <v>26</v>
      </c>
      <c r="I26" s="29" cm="1">
        <f t="array" ref="I26">_xlfn.XLOOKUP(Table4[[#This Row],[Malli]],'Älykello tuotehinta'!$A$2:$A$6,_xlfn.XLOOKUP(Table4[[#This Row],[Tuote]],'Älykello tuotehinta'!$B$1:$D$1,'Älykello tuotehinta'!$B$2:$D$6))</f>
        <v>64</v>
      </c>
      <c r="J26" s="29">
        <f>_xlfn.XLOOKUP(Table4[[#This Row],[Malli]],'Älykellon Hinta'!$B$2:$B$6,'Älykellon Hinta'!$C$2:$C$6)</f>
        <v>254</v>
      </c>
    </row>
    <row r="27" spans="1:13">
      <c r="A27">
        <f t="shared" si="0"/>
        <v>26</v>
      </c>
      <c r="B27" t="s">
        <v>53</v>
      </c>
      <c r="C27" t="s">
        <v>17</v>
      </c>
      <c r="D27" t="s">
        <v>50</v>
      </c>
      <c r="E27" t="str">
        <f>Table4[[#This Row],[Merkki]] &amp; " " &amp; Table4[[#This Row],[Malli]]</f>
        <v>OnePlus Watch 2</v>
      </c>
      <c r="F27" t="str">
        <f xml:space="preserve"> Table4[[#This Row],[Liike]] &amp; " " &amp; Table4[[#This Row],[Merkki ja malli]]</f>
        <v>Handleit OnePlus Watch 2</v>
      </c>
      <c r="G27" t="s">
        <v>4</v>
      </c>
      <c r="I27" s="29" cm="1">
        <f t="array" ref="I27">_xlfn.XLOOKUP(Table4[[#This Row],[Malli]],'Älykello tuotehinta'!$A$2:$A$6,_xlfn.XLOOKUP(Table4[[#This Row],[Tuote]],'Älykello tuotehinta'!$B$1:$D$1,'Älykello tuotehinta'!$B$2:$D$6))</f>
        <v>18</v>
      </c>
      <c r="J27" s="29">
        <f>_xlfn.XLOOKUP(Table4[[#This Row],[Malli]],'Älykellon Hinta'!$B$2:$B$6,'Älykellon Hinta'!$C$2:$C$6)</f>
        <v>254</v>
      </c>
    </row>
    <row r="28" spans="1:13">
      <c r="A28">
        <f t="shared" si="0"/>
        <v>27</v>
      </c>
      <c r="B28" t="s">
        <v>53</v>
      </c>
      <c r="C28" t="s">
        <v>17</v>
      </c>
      <c r="D28" t="s">
        <v>50</v>
      </c>
      <c r="E28" t="str">
        <f>Table4[[#This Row],[Merkki]] &amp; " " &amp; Table4[[#This Row],[Malli]]</f>
        <v>OnePlus Watch 2</v>
      </c>
      <c r="F28" t="str">
        <f xml:space="preserve"> Table4[[#This Row],[Liike]] &amp; " " &amp; Table4[[#This Row],[Merkki ja malli]]</f>
        <v>Handleit OnePlus Watch 2</v>
      </c>
      <c r="G28" t="s">
        <v>52</v>
      </c>
      <c r="I28" s="29" cm="1">
        <f t="array" ref="I28">_xlfn.XLOOKUP(Table4[[#This Row],[Malli]],'Älykello tuotehinta'!$A$2:$A$6,_xlfn.XLOOKUP(Table4[[#This Row],[Tuote]],'Älykello tuotehinta'!$B$1:$D$1,'Älykello tuotehinta'!$B$2:$D$6))</f>
        <v>13</v>
      </c>
      <c r="J28" s="29">
        <f>_xlfn.XLOOKUP(Table4[[#This Row],[Malli]],'Älykellon Hinta'!$B$2:$B$6,'Älykellon Hinta'!$C$2:$C$6)</f>
        <v>254</v>
      </c>
    </row>
    <row r="29" spans="1:13">
      <c r="A29">
        <f t="shared" si="0"/>
        <v>28</v>
      </c>
      <c r="B29" t="s">
        <v>53</v>
      </c>
      <c r="C29" t="s">
        <v>47</v>
      </c>
      <c r="D29" t="s">
        <v>48</v>
      </c>
      <c r="E29" t="str">
        <f>Table4[[#This Row],[Merkki]] &amp; " " &amp; Table4[[#This Row],[Malli]]</f>
        <v>Xplora Watch XGO3 4G – lasten kellopuhelin</v>
      </c>
      <c r="F29" t="str">
        <f xml:space="preserve"> Table4[[#This Row],[Liike]] &amp; " " &amp; Table4[[#This Row],[Merkki ja malli]]</f>
        <v>Handleit Xplora Watch XGO3 4G – lasten kellopuhelin</v>
      </c>
      <c r="G29" t="s">
        <v>26</v>
      </c>
      <c r="I29" s="29" cm="1">
        <f t="array" ref="I29">_xlfn.XLOOKUP(Table4[[#This Row],[Malli]],'Älykello tuotehinta'!$A$2:$A$6,_xlfn.XLOOKUP(Table4[[#This Row],[Tuote]],'Älykello tuotehinta'!$B$1:$D$1,'Älykello tuotehinta'!$B$2:$D$6))</f>
        <v>40</v>
      </c>
      <c r="J29" s="29">
        <f>_xlfn.XLOOKUP(Table4[[#This Row],[Malli]],'Älykellon Hinta'!$B$2:$B$6,'Älykellon Hinta'!$C$2:$C$6)</f>
        <v>134</v>
      </c>
    </row>
    <row r="30" spans="1:13">
      <c r="A30">
        <f t="shared" si="0"/>
        <v>29</v>
      </c>
      <c r="B30" t="s">
        <v>53</v>
      </c>
      <c r="C30" t="s">
        <v>47</v>
      </c>
      <c r="D30" t="s">
        <v>48</v>
      </c>
      <c r="E30" t="str">
        <f>Table4[[#This Row],[Merkki]] &amp; " " &amp; Table4[[#This Row],[Malli]]</f>
        <v>Xplora Watch XGO3 4G – lasten kellopuhelin</v>
      </c>
      <c r="F30" t="str">
        <f xml:space="preserve"> Table4[[#This Row],[Liike]] &amp; " " &amp; Table4[[#This Row],[Merkki ja malli]]</f>
        <v>Handleit Xplora Watch XGO3 4G – lasten kellopuhelin</v>
      </c>
      <c r="G30" t="s">
        <v>4</v>
      </c>
      <c r="I30" s="29" cm="1">
        <f t="array" ref="I30">_xlfn.XLOOKUP(Table4[[#This Row],[Malli]],'Älykello tuotehinta'!$A$2:$A$6,_xlfn.XLOOKUP(Table4[[#This Row],[Tuote]],'Älykello tuotehinta'!$B$1:$D$1,'Älykello tuotehinta'!$B$2:$D$6))</f>
        <v>24</v>
      </c>
      <c r="J30" s="29">
        <f>_xlfn.XLOOKUP(Table4[[#This Row],[Malli]],'Älykellon Hinta'!$B$2:$B$6,'Älykellon Hinta'!$C$2:$C$6)</f>
        <v>134</v>
      </c>
    </row>
    <row r="31" spans="1:13">
      <c r="A31">
        <f t="shared" si="0"/>
        <v>30</v>
      </c>
      <c r="B31" t="s">
        <v>53</v>
      </c>
      <c r="C31" t="s">
        <v>47</v>
      </c>
      <c r="D31" t="s">
        <v>48</v>
      </c>
      <c r="E31" t="str">
        <f>Table4[[#This Row],[Merkki]] &amp; " " &amp; Table4[[#This Row],[Malli]]</f>
        <v>Xplora Watch XGO3 4G – lasten kellopuhelin</v>
      </c>
      <c r="F31" t="str">
        <f xml:space="preserve"> Table4[[#This Row],[Liike]] &amp; " " &amp; Table4[[#This Row],[Merkki ja malli]]</f>
        <v>Handleit Xplora Watch XGO3 4G – lasten kellopuhelin</v>
      </c>
      <c r="G31" t="s">
        <v>52</v>
      </c>
      <c r="I31" s="29" cm="1">
        <f t="array" ref="I31">_xlfn.XLOOKUP(Table4[[#This Row],[Malli]],'Älykello tuotehinta'!$A$2:$A$6,_xlfn.XLOOKUP(Table4[[#This Row],[Tuote]],'Älykello tuotehinta'!$B$1:$D$1,'Älykello tuotehinta'!$B$2:$D$6))</f>
        <v>11</v>
      </c>
      <c r="J31" s="29">
        <f>_xlfn.XLOOKUP(Table4[[#This Row],[Malli]],'Älykellon Hinta'!$B$2:$B$6,'Älykellon Hinta'!$C$2:$C$6)</f>
        <v>134</v>
      </c>
    </row>
    <row r="32" spans="1:13">
      <c r="A32">
        <f t="shared" si="0"/>
        <v>31</v>
      </c>
      <c r="B32" t="s">
        <v>43</v>
      </c>
      <c r="C32" t="s">
        <v>22</v>
      </c>
      <c r="D32" t="s">
        <v>51</v>
      </c>
      <c r="E32" t="str">
        <f>Table4[[#This Row],[Merkki]] &amp; " " &amp; Table4[[#This Row],[Malli]]</f>
        <v>Apple Watch SE GPS</v>
      </c>
      <c r="F32" t="str">
        <f xml:space="preserve"> Table4[[#This Row],[Liike]] &amp; " " &amp; Table4[[#This Row],[Merkki ja malli]]</f>
        <v>itapsa Apple Watch SE GPS</v>
      </c>
      <c r="G32" t="s">
        <v>26</v>
      </c>
      <c r="I32" s="29" cm="1">
        <f t="array" ref="I32">_xlfn.XLOOKUP(Table4[[#This Row],[Malli]],'Älykello tuotehinta'!$A$2:$A$6,_xlfn.XLOOKUP(Table4[[#This Row],[Tuote]],'Älykello tuotehinta'!$B$1:$D$1,'Älykello tuotehinta'!$B$2:$D$6))</f>
        <v>100</v>
      </c>
      <c r="J32" s="29">
        <f>_xlfn.XLOOKUP(Table4[[#This Row],[Malli]],'Älykellon Hinta'!$B$2:$B$6,'Älykellon Hinta'!$C$2:$C$6)</f>
        <v>275</v>
      </c>
    </row>
    <row r="33" spans="1:10">
      <c r="A33">
        <f t="shared" si="0"/>
        <v>32</v>
      </c>
      <c r="B33" t="s">
        <v>43</v>
      </c>
      <c r="C33" t="s">
        <v>22</v>
      </c>
      <c r="D33" t="s">
        <v>51</v>
      </c>
      <c r="E33" t="str">
        <f>Table4[[#This Row],[Merkki]] &amp; " " &amp; Table4[[#This Row],[Malli]]</f>
        <v>Apple Watch SE GPS</v>
      </c>
      <c r="F33" t="str">
        <f xml:space="preserve"> Table4[[#This Row],[Liike]] &amp; " " &amp; Table4[[#This Row],[Merkki ja malli]]</f>
        <v>itapsa Apple Watch SE GPS</v>
      </c>
      <c r="G33" t="s">
        <v>4</v>
      </c>
      <c r="I33" s="29" cm="1">
        <f t="array" ref="I33">_xlfn.XLOOKUP(Table4[[#This Row],[Malli]],'Älykello tuotehinta'!$A$2:$A$6,_xlfn.XLOOKUP(Table4[[#This Row],[Tuote]],'Älykello tuotehinta'!$B$1:$D$1,'Älykello tuotehinta'!$B$2:$D$6))</f>
        <v>73</v>
      </c>
      <c r="J33" s="29">
        <f>_xlfn.XLOOKUP(Table4[[#This Row],[Malli]],'Älykellon Hinta'!$B$2:$B$6,'Älykellon Hinta'!$C$2:$C$6)</f>
        <v>275</v>
      </c>
    </row>
    <row r="34" spans="1:10">
      <c r="A34">
        <f t="shared" si="0"/>
        <v>33</v>
      </c>
      <c r="B34" t="s">
        <v>43</v>
      </c>
      <c r="C34" t="s">
        <v>22</v>
      </c>
      <c r="D34" t="s">
        <v>51</v>
      </c>
      <c r="E34" t="str">
        <f>Table4[[#This Row],[Merkki]] &amp; " " &amp; Table4[[#This Row],[Malli]]</f>
        <v>Apple Watch SE GPS</v>
      </c>
      <c r="F34" t="str">
        <f xml:space="preserve"> Table4[[#This Row],[Liike]] &amp; " " &amp; Table4[[#This Row],[Merkki ja malli]]</f>
        <v>itapsa Apple Watch SE GPS</v>
      </c>
      <c r="G34" t="s">
        <v>52</v>
      </c>
      <c r="I34" s="29" cm="1">
        <f t="array" ref="I34">_xlfn.XLOOKUP(Table4[[#This Row],[Malli]],'Älykello tuotehinta'!$A$2:$A$6,_xlfn.XLOOKUP(Table4[[#This Row],[Tuote]],'Älykello tuotehinta'!$B$1:$D$1,'Älykello tuotehinta'!$B$2:$D$6))</f>
        <v>25</v>
      </c>
      <c r="J34" s="29">
        <f>_xlfn.XLOOKUP(Table4[[#This Row],[Malli]],'Älykellon Hinta'!$B$2:$B$6,'Älykellon Hinta'!$C$2:$C$6)</f>
        <v>275</v>
      </c>
    </row>
    <row r="35" spans="1:10">
      <c r="A35">
        <f t="shared" si="0"/>
        <v>34</v>
      </c>
      <c r="B35" t="s">
        <v>43</v>
      </c>
      <c r="C35" t="s">
        <v>22</v>
      </c>
      <c r="D35" t="s">
        <v>49</v>
      </c>
      <c r="E35" t="str">
        <f>Table4[[#This Row],[Merkki]] &amp; " " &amp; Table4[[#This Row],[Malli]]</f>
        <v>Apple Watch Series 9 GPS + Cellular</v>
      </c>
      <c r="F35" t="str">
        <f xml:space="preserve"> Table4[[#This Row],[Liike]] &amp; " " &amp; Table4[[#This Row],[Merkki ja malli]]</f>
        <v>itapsa Apple Watch Series 9 GPS + Cellular</v>
      </c>
      <c r="G35" t="s">
        <v>26</v>
      </c>
      <c r="I35" s="29" cm="1">
        <f t="array" ref="I35">_xlfn.XLOOKUP(Table4[[#This Row],[Malli]],'Älykello tuotehinta'!$A$2:$A$6,_xlfn.XLOOKUP(Table4[[#This Row],[Tuote]],'Älykello tuotehinta'!$B$1:$D$1,'Älykello tuotehinta'!$B$2:$D$6))</f>
        <v>230</v>
      </c>
      <c r="J35" s="29">
        <f>_xlfn.XLOOKUP(Table4[[#This Row],[Malli]],'Älykellon Hinta'!$B$2:$B$6,'Älykellon Hinta'!$C$2:$C$6)</f>
        <v>575</v>
      </c>
    </row>
    <row r="36" spans="1:10">
      <c r="A36">
        <f t="shared" si="0"/>
        <v>35</v>
      </c>
      <c r="B36" t="s">
        <v>43</v>
      </c>
      <c r="C36" t="s">
        <v>22</v>
      </c>
      <c r="D36" t="s">
        <v>49</v>
      </c>
      <c r="E36" t="str">
        <f>Table4[[#This Row],[Merkki]] &amp; " " &amp; Table4[[#This Row],[Malli]]</f>
        <v>Apple Watch Series 9 GPS + Cellular</v>
      </c>
      <c r="F36" t="str">
        <f xml:space="preserve"> Table4[[#This Row],[Liike]] &amp; " " &amp; Table4[[#This Row],[Merkki ja malli]]</f>
        <v>itapsa Apple Watch Series 9 GPS + Cellular</v>
      </c>
      <c r="G36" t="s">
        <v>4</v>
      </c>
      <c r="I36" s="29" cm="1">
        <f t="array" ref="I36">_xlfn.XLOOKUP(Table4[[#This Row],[Malli]],'Älykello tuotehinta'!$A$2:$A$6,_xlfn.XLOOKUP(Table4[[#This Row],[Tuote]],'Älykello tuotehinta'!$B$1:$D$1,'Älykello tuotehinta'!$B$2:$D$6))</f>
        <v>85</v>
      </c>
      <c r="J36" s="29">
        <f>_xlfn.XLOOKUP(Table4[[#This Row],[Malli]],'Älykellon Hinta'!$B$2:$B$6,'Älykellon Hinta'!$C$2:$C$6)</f>
        <v>575</v>
      </c>
    </row>
    <row r="37" spans="1:10">
      <c r="A37">
        <f t="shared" si="0"/>
        <v>36</v>
      </c>
      <c r="B37" t="s">
        <v>43</v>
      </c>
      <c r="C37" t="s">
        <v>22</v>
      </c>
      <c r="D37" t="s">
        <v>49</v>
      </c>
      <c r="E37" t="str">
        <f>Table4[[#This Row],[Merkki]] &amp; " " &amp; Table4[[#This Row],[Malli]]</f>
        <v>Apple Watch Series 9 GPS + Cellular</v>
      </c>
      <c r="F37" t="str">
        <f xml:space="preserve"> Table4[[#This Row],[Liike]] &amp; " " &amp; Table4[[#This Row],[Merkki ja malli]]</f>
        <v>itapsa Apple Watch Series 9 GPS + Cellular</v>
      </c>
      <c r="G37" t="s">
        <v>52</v>
      </c>
      <c r="I37" s="29" cm="1">
        <f t="array" ref="I37">_xlfn.XLOOKUP(Table4[[#This Row],[Malli]],'Älykello tuotehinta'!$A$2:$A$6,_xlfn.XLOOKUP(Table4[[#This Row],[Tuote]],'Älykello tuotehinta'!$B$1:$D$1,'Älykello tuotehinta'!$B$2:$D$6))</f>
        <v>65</v>
      </c>
      <c r="J37" s="29">
        <f>_xlfn.XLOOKUP(Table4[[#This Row],[Malli]],'Älykellon Hinta'!$B$2:$B$6,'Älykellon Hinta'!$C$2:$C$6)</f>
        <v>575</v>
      </c>
    </row>
    <row r="38" spans="1:10">
      <c r="A38">
        <f t="shared" si="0"/>
        <v>37</v>
      </c>
      <c r="B38" t="s">
        <v>43</v>
      </c>
      <c r="C38" t="s">
        <v>54</v>
      </c>
      <c r="D38" t="s">
        <v>55</v>
      </c>
      <c r="E38" t="str">
        <f>Table4[[#This Row],[Merkki]] &amp; " " &amp; Table4[[#This Row],[Malli]]</f>
        <v>Huawei Watch Fit 3</v>
      </c>
      <c r="F38" t="str">
        <f xml:space="preserve"> Table4[[#This Row],[Liike]] &amp; " " &amp; Table4[[#This Row],[Merkki ja malli]]</f>
        <v>itapsa Huawei Watch Fit 3</v>
      </c>
      <c r="G38" t="s">
        <v>26</v>
      </c>
      <c r="I38" s="29" cm="1">
        <f t="array" ref="I38">_xlfn.XLOOKUP(Table4[[#This Row],[Malli]],'Älykello tuotehinta'!$A$2:$A$6,_xlfn.XLOOKUP(Table4[[#This Row],[Tuote]],'Älykello tuotehinta'!$B$1:$D$1,'Älykello tuotehinta'!$B$2:$D$6))</f>
        <v>52</v>
      </c>
      <c r="J38" s="29">
        <f>_xlfn.XLOOKUP(Table4[[#This Row],[Malli]],'Älykellon Hinta'!$B$2:$B$6,'Älykellon Hinta'!$C$2:$C$6)</f>
        <v>137</v>
      </c>
    </row>
    <row r="39" spans="1:10">
      <c r="A39">
        <f t="shared" si="0"/>
        <v>38</v>
      </c>
      <c r="B39" t="s">
        <v>43</v>
      </c>
      <c r="C39" t="s">
        <v>54</v>
      </c>
      <c r="D39" t="s">
        <v>55</v>
      </c>
      <c r="E39" t="str">
        <f>Table4[[#This Row],[Merkki]] &amp; " " &amp; Table4[[#This Row],[Malli]]</f>
        <v>Huawei Watch Fit 3</v>
      </c>
      <c r="F39" t="str">
        <f xml:space="preserve"> Table4[[#This Row],[Liike]] &amp; " " &amp; Table4[[#This Row],[Merkki ja malli]]</f>
        <v>itapsa Huawei Watch Fit 3</v>
      </c>
      <c r="G39" t="s">
        <v>4</v>
      </c>
      <c r="I39" s="29" cm="1">
        <f t="array" ref="I39">_xlfn.XLOOKUP(Table4[[#This Row],[Malli]],'Älykello tuotehinta'!$A$2:$A$6,_xlfn.XLOOKUP(Table4[[#This Row],[Tuote]],'Älykello tuotehinta'!$B$1:$D$1,'Älykello tuotehinta'!$B$2:$D$6))</f>
        <v>8</v>
      </c>
      <c r="J39" s="29">
        <f>_xlfn.XLOOKUP(Table4[[#This Row],[Malli]],'Älykellon Hinta'!$B$2:$B$6,'Älykellon Hinta'!$C$2:$C$6)</f>
        <v>137</v>
      </c>
    </row>
    <row r="40" spans="1:10">
      <c r="A40">
        <f t="shared" si="0"/>
        <v>39</v>
      </c>
      <c r="B40" t="s">
        <v>43</v>
      </c>
      <c r="C40" t="s">
        <v>54</v>
      </c>
      <c r="D40" t="s">
        <v>55</v>
      </c>
      <c r="E40" t="str">
        <f>Table4[[#This Row],[Merkki]] &amp; " " &amp; Table4[[#This Row],[Malli]]</f>
        <v>Huawei Watch Fit 3</v>
      </c>
      <c r="F40" t="str">
        <f xml:space="preserve"> Table4[[#This Row],[Liike]] &amp; " " &amp; Table4[[#This Row],[Merkki ja malli]]</f>
        <v>itapsa Huawei Watch Fit 3</v>
      </c>
      <c r="G40" t="s">
        <v>52</v>
      </c>
      <c r="I40" s="29" cm="1">
        <f t="array" ref="I40">_xlfn.XLOOKUP(Table4[[#This Row],[Malli]],'Älykello tuotehinta'!$A$2:$A$6,_xlfn.XLOOKUP(Table4[[#This Row],[Tuote]],'Älykello tuotehinta'!$B$1:$D$1,'Älykello tuotehinta'!$B$2:$D$6))</f>
        <v>34</v>
      </c>
      <c r="J40" s="29">
        <f>_xlfn.XLOOKUP(Table4[[#This Row],[Malli]],'Älykellon Hinta'!$B$2:$B$6,'Älykellon Hinta'!$C$2:$C$6)</f>
        <v>137</v>
      </c>
    </row>
    <row r="41" spans="1:10">
      <c r="A41">
        <f t="shared" si="0"/>
        <v>40</v>
      </c>
      <c r="B41" t="s">
        <v>43</v>
      </c>
      <c r="C41" t="s">
        <v>17</v>
      </c>
      <c r="D41" t="s">
        <v>50</v>
      </c>
      <c r="E41" t="str">
        <f>Table4[[#This Row],[Merkki]] &amp; " " &amp; Table4[[#This Row],[Malli]]</f>
        <v>OnePlus Watch 2</v>
      </c>
      <c r="F41" t="str">
        <f xml:space="preserve"> Table4[[#This Row],[Liike]] &amp; " " &amp; Table4[[#This Row],[Merkki ja malli]]</f>
        <v>itapsa OnePlus Watch 2</v>
      </c>
      <c r="G41" t="s">
        <v>26</v>
      </c>
      <c r="I41" s="29" cm="1">
        <f t="array" ref="I41">_xlfn.XLOOKUP(Table4[[#This Row],[Malli]],'Älykello tuotehinta'!$A$2:$A$6,_xlfn.XLOOKUP(Table4[[#This Row],[Tuote]],'Älykello tuotehinta'!$B$1:$D$1,'Älykello tuotehinta'!$B$2:$D$6))</f>
        <v>64</v>
      </c>
      <c r="J41" s="29">
        <f>_xlfn.XLOOKUP(Table4[[#This Row],[Malli]],'Älykellon Hinta'!$B$2:$B$6,'Älykellon Hinta'!$C$2:$C$6)</f>
        <v>254</v>
      </c>
    </row>
    <row r="42" spans="1:10">
      <c r="A42">
        <f t="shared" si="0"/>
        <v>41</v>
      </c>
      <c r="B42" t="s">
        <v>43</v>
      </c>
      <c r="C42" t="s">
        <v>17</v>
      </c>
      <c r="D42" t="s">
        <v>50</v>
      </c>
      <c r="E42" t="str">
        <f>Table4[[#This Row],[Merkki]] &amp; " " &amp; Table4[[#This Row],[Malli]]</f>
        <v>OnePlus Watch 2</v>
      </c>
      <c r="F42" t="str">
        <f xml:space="preserve"> Table4[[#This Row],[Liike]] &amp; " " &amp; Table4[[#This Row],[Merkki ja malli]]</f>
        <v>itapsa OnePlus Watch 2</v>
      </c>
      <c r="G42" t="s">
        <v>4</v>
      </c>
      <c r="I42" s="29" cm="1">
        <f t="array" ref="I42">_xlfn.XLOOKUP(Table4[[#This Row],[Malli]],'Älykello tuotehinta'!$A$2:$A$6,_xlfn.XLOOKUP(Table4[[#This Row],[Tuote]],'Älykello tuotehinta'!$B$1:$D$1,'Älykello tuotehinta'!$B$2:$D$6))</f>
        <v>18</v>
      </c>
      <c r="J42" s="29">
        <f>_xlfn.XLOOKUP(Table4[[#This Row],[Malli]],'Älykellon Hinta'!$B$2:$B$6,'Älykellon Hinta'!$C$2:$C$6)</f>
        <v>254</v>
      </c>
    </row>
    <row r="43" spans="1:10">
      <c r="A43">
        <f t="shared" si="0"/>
        <v>42</v>
      </c>
      <c r="B43" t="s">
        <v>43</v>
      </c>
      <c r="C43" t="s">
        <v>17</v>
      </c>
      <c r="D43" t="s">
        <v>50</v>
      </c>
      <c r="E43" t="str">
        <f>Table4[[#This Row],[Merkki]] &amp; " " &amp; Table4[[#This Row],[Malli]]</f>
        <v>OnePlus Watch 2</v>
      </c>
      <c r="F43" t="str">
        <f xml:space="preserve"> Table4[[#This Row],[Liike]] &amp; " " &amp; Table4[[#This Row],[Merkki ja malli]]</f>
        <v>itapsa OnePlus Watch 2</v>
      </c>
      <c r="G43" t="s">
        <v>52</v>
      </c>
      <c r="I43" s="29" cm="1">
        <f t="array" ref="I43">_xlfn.XLOOKUP(Table4[[#This Row],[Malli]],'Älykello tuotehinta'!$A$2:$A$6,_xlfn.XLOOKUP(Table4[[#This Row],[Tuote]],'Älykello tuotehinta'!$B$1:$D$1,'Älykello tuotehinta'!$B$2:$D$6))</f>
        <v>13</v>
      </c>
      <c r="J43" s="29">
        <f>_xlfn.XLOOKUP(Table4[[#This Row],[Malli]],'Älykellon Hinta'!$B$2:$B$6,'Älykellon Hinta'!$C$2:$C$6)</f>
        <v>254</v>
      </c>
    </row>
    <row r="44" spans="1:10">
      <c r="A44">
        <f t="shared" si="0"/>
        <v>43</v>
      </c>
      <c r="B44" t="s">
        <v>43</v>
      </c>
      <c r="C44" t="s">
        <v>47</v>
      </c>
      <c r="D44" t="s">
        <v>48</v>
      </c>
      <c r="E44" t="str">
        <f>Table4[[#This Row],[Merkki]] &amp; " " &amp; Table4[[#This Row],[Malli]]</f>
        <v>Xplora Watch XGO3 4G – lasten kellopuhelin</v>
      </c>
      <c r="F44" t="str">
        <f xml:space="preserve"> Table4[[#This Row],[Liike]] &amp; " " &amp; Table4[[#This Row],[Merkki ja malli]]</f>
        <v>itapsa Xplora Watch XGO3 4G – lasten kellopuhelin</v>
      </c>
      <c r="G44" t="s">
        <v>26</v>
      </c>
      <c r="I44" s="29" cm="1">
        <f t="array" ref="I44">_xlfn.XLOOKUP(Table4[[#This Row],[Malli]],'Älykello tuotehinta'!$A$2:$A$6,_xlfn.XLOOKUP(Table4[[#This Row],[Tuote]],'Älykello tuotehinta'!$B$1:$D$1,'Älykello tuotehinta'!$B$2:$D$6))</f>
        <v>40</v>
      </c>
      <c r="J44" s="29">
        <f>_xlfn.XLOOKUP(Table4[[#This Row],[Malli]],'Älykellon Hinta'!$B$2:$B$6,'Älykellon Hinta'!$C$2:$C$6)</f>
        <v>134</v>
      </c>
    </row>
    <row r="45" spans="1:10">
      <c r="A45">
        <f t="shared" si="0"/>
        <v>44</v>
      </c>
      <c r="B45" t="s">
        <v>43</v>
      </c>
      <c r="C45" t="s">
        <v>47</v>
      </c>
      <c r="D45" t="s">
        <v>48</v>
      </c>
      <c r="E45" t="str">
        <f>Table4[[#This Row],[Merkki]] &amp; " " &amp; Table4[[#This Row],[Malli]]</f>
        <v>Xplora Watch XGO3 4G – lasten kellopuhelin</v>
      </c>
      <c r="F45" t="str">
        <f xml:space="preserve"> Table4[[#This Row],[Liike]] &amp; " " &amp; Table4[[#This Row],[Merkki ja malli]]</f>
        <v>itapsa Xplora Watch XGO3 4G – lasten kellopuhelin</v>
      </c>
      <c r="G45" t="s">
        <v>4</v>
      </c>
      <c r="I45" s="29" cm="1">
        <f t="array" ref="I45">_xlfn.XLOOKUP(Table4[[#This Row],[Malli]],'Älykello tuotehinta'!$A$2:$A$6,_xlfn.XLOOKUP(Table4[[#This Row],[Tuote]],'Älykello tuotehinta'!$B$1:$D$1,'Älykello tuotehinta'!$B$2:$D$6))</f>
        <v>24</v>
      </c>
      <c r="J45" s="29">
        <f>_xlfn.XLOOKUP(Table4[[#This Row],[Malli]],'Älykellon Hinta'!$B$2:$B$6,'Älykellon Hinta'!$C$2:$C$6)</f>
        <v>134</v>
      </c>
    </row>
    <row r="46" spans="1:10">
      <c r="A46">
        <f t="shared" si="0"/>
        <v>45</v>
      </c>
      <c r="B46" t="s">
        <v>43</v>
      </c>
      <c r="C46" t="s">
        <v>47</v>
      </c>
      <c r="D46" t="s">
        <v>48</v>
      </c>
      <c r="E46" t="str">
        <f>Table4[[#This Row],[Merkki]] &amp; " " &amp; Table4[[#This Row],[Malli]]</f>
        <v>Xplora Watch XGO3 4G – lasten kellopuhelin</v>
      </c>
      <c r="F46" t="str">
        <f xml:space="preserve"> Table4[[#This Row],[Liike]] &amp; " " &amp; Table4[[#This Row],[Merkki ja malli]]</f>
        <v>itapsa Xplora Watch XGO3 4G – lasten kellopuhelin</v>
      </c>
      <c r="G46" t="s">
        <v>52</v>
      </c>
      <c r="I46" s="29" cm="1">
        <f t="array" ref="I46">_xlfn.XLOOKUP(Table4[[#This Row],[Malli]],'Älykello tuotehinta'!$A$2:$A$6,_xlfn.XLOOKUP(Table4[[#This Row],[Tuote]],'Älykello tuotehinta'!$B$1:$D$1,'Älykello tuotehinta'!$B$2:$D$6))</f>
        <v>11</v>
      </c>
      <c r="J46" s="29">
        <f>_xlfn.XLOOKUP(Table4[[#This Row],[Malli]],'Älykellon Hinta'!$B$2:$B$6,'Älykellon Hinta'!$C$2:$C$6)</f>
        <v>134</v>
      </c>
    </row>
    <row r="47" spans="1:10">
      <c r="A47">
        <f>ROW(A47) - 1</f>
        <v>46</v>
      </c>
      <c r="B47" t="s">
        <v>60</v>
      </c>
      <c r="C47" t="s">
        <v>22</v>
      </c>
      <c r="D47" t="s">
        <v>51</v>
      </c>
      <c r="E47" t="str">
        <f>Table4[[#This Row],[Merkki]] &amp; " " &amp; Table4[[#This Row],[Malli]]</f>
        <v>Apple Watch SE GPS</v>
      </c>
      <c r="F47" t="str">
        <f xml:space="preserve"> Table4[[#This Row],[Liike]] &amp; " " &amp; Table4[[#This Row],[Merkki ja malli]]</f>
        <v>Lahden ATK klinikka Apple Watch SE GPS</v>
      </c>
      <c r="G47" t="s">
        <v>26</v>
      </c>
      <c r="I47" s="29" cm="1">
        <f t="array" ref="I47">_xlfn.XLOOKUP(Table4[[#This Row],[Malli]],'Älykello tuotehinta'!$A$2:$A$6,_xlfn.XLOOKUP(Table4[[#This Row],[Tuote]],'Älykello tuotehinta'!$B$1:$D$1,'Älykello tuotehinta'!$B$2:$D$6))</f>
        <v>100</v>
      </c>
      <c r="J47" s="29">
        <f>_xlfn.XLOOKUP(Table4[[#This Row],[Malli]],'Älykellon Hinta'!$B$2:$B$6,'Älykellon Hinta'!$C$2:$C$6)</f>
        <v>275</v>
      </c>
    </row>
    <row r="48" spans="1:10">
      <c r="A48">
        <f t="shared" ref="A48:A76" si="1">ROW(A48) - 1</f>
        <v>47</v>
      </c>
      <c r="B48" t="s">
        <v>60</v>
      </c>
      <c r="C48" t="s">
        <v>22</v>
      </c>
      <c r="D48" t="s">
        <v>51</v>
      </c>
      <c r="E48" t="str">
        <f>Table4[[#This Row],[Merkki]] &amp; " " &amp; Table4[[#This Row],[Malli]]</f>
        <v>Apple Watch SE GPS</v>
      </c>
      <c r="F48" t="str">
        <f xml:space="preserve"> Table4[[#This Row],[Liike]] &amp; " " &amp; Table4[[#This Row],[Merkki ja malli]]</f>
        <v>Lahden ATK klinikka Apple Watch SE GPS</v>
      </c>
      <c r="G48" t="s">
        <v>4</v>
      </c>
      <c r="I48" s="29" cm="1">
        <f t="array" ref="I48">_xlfn.XLOOKUP(Table4[[#This Row],[Malli]],'Älykello tuotehinta'!$A$2:$A$6,_xlfn.XLOOKUP(Table4[[#This Row],[Tuote]],'Älykello tuotehinta'!$B$1:$D$1,'Älykello tuotehinta'!$B$2:$D$6))</f>
        <v>73</v>
      </c>
      <c r="J48" s="29">
        <f>_xlfn.XLOOKUP(Table4[[#This Row],[Malli]],'Älykellon Hinta'!$B$2:$B$6,'Älykellon Hinta'!$C$2:$C$6)</f>
        <v>275</v>
      </c>
    </row>
    <row r="49" spans="1:10">
      <c r="A49">
        <f t="shared" si="1"/>
        <v>48</v>
      </c>
      <c r="B49" t="s">
        <v>60</v>
      </c>
      <c r="C49" t="s">
        <v>22</v>
      </c>
      <c r="D49" t="s">
        <v>51</v>
      </c>
      <c r="E49" t="str">
        <f>Table4[[#This Row],[Merkki]] &amp; " " &amp; Table4[[#This Row],[Malli]]</f>
        <v>Apple Watch SE GPS</v>
      </c>
      <c r="F49" t="str">
        <f xml:space="preserve"> Table4[[#This Row],[Liike]] &amp; " " &amp; Table4[[#This Row],[Merkki ja malli]]</f>
        <v>Lahden ATK klinikka Apple Watch SE GPS</v>
      </c>
      <c r="G49" t="s">
        <v>52</v>
      </c>
      <c r="I49" s="29" cm="1">
        <f t="array" ref="I49">_xlfn.XLOOKUP(Table4[[#This Row],[Malli]],'Älykello tuotehinta'!$A$2:$A$6,_xlfn.XLOOKUP(Table4[[#This Row],[Tuote]],'Älykello tuotehinta'!$B$1:$D$1,'Älykello tuotehinta'!$B$2:$D$6))</f>
        <v>25</v>
      </c>
      <c r="J49" s="29">
        <f>_xlfn.XLOOKUP(Table4[[#This Row],[Malli]],'Älykellon Hinta'!$B$2:$B$6,'Älykellon Hinta'!$C$2:$C$6)</f>
        <v>275</v>
      </c>
    </row>
    <row r="50" spans="1:10">
      <c r="A50">
        <f t="shared" si="1"/>
        <v>49</v>
      </c>
      <c r="B50" t="s">
        <v>60</v>
      </c>
      <c r="C50" t="s">
        <v>22</v>
      </c>
      <c r="D50" t="s">
        <v>49</v>
      </c>
      <c r="E50" t="str">
        <f>Table4[[#This Row],[Merkki]] &amp; " " &amp; Table4[[#This Row],[Malli]]</f>
        <v>Apple Watch Series 9 GPS + Cellular</v>
      </c>
      <c r="F50" t="str">
        <f xml:space="preserve"> Table4[[#This Row],[Liike]] &amp; " " &amp; Table4[[#This Row],[Merkki ja malli]]</f>
        <v>Lahden ATK klinikka Apple Watch Series 9 GPS + Cellular</v>
      </c>
      <c r="G50" t="s">
        <v>26</v>
      </c>
      <c r="I50" s="29" cm="1">
        <f t="array" ref="I50">_xlfn.XLOOKUP(Table4[[#This Row],[Malli]],'Älykello tuotehinta'!$A$2:$A$6,_xlfn.XLOOKUP(Table4[[#This Row],[Tuote]],'Älykello tuotehinta'!$B$1:$D$1,'Älykello tuotehinta'!$B$2:$D$6))</f>
        <v>230</v>
      </c>
      <c r="J50" s="29">
        <f>_xlfn.XLOOKUP(Table4[[#This Row],[Malli]],'Älykellon Hinta'!$B$2:$B$6,'Älykellon Hinta'!$C$2:$C$6)</f>
        <v>575</v>
      </c>
    </row>
    <row r="51" spans="1:10">
      <c r="A51">
        <f t="shared" si="1"/>
        <v>50</v>
      </c>
      <c r="B51" t="s">
        <v>60</v>
      </c>
      <c r="C51" t="s">
        <v>22</v>
      </c>
      <c r="D51" t="s">
        <v>49</v>
      </c>
      <c r="E51" t="str">
        <f>Table4[[#This Row],[Merkki]] &amp; " " &amp; Table4[[#This Row],[Malli]]</f>
        <v>Apple Watch Series 9 GPS + Cellular</v>
      </c>
      <c r="F51" t="str">
        <f xml:space="preserve"> Table4[[#This Row],[Liike]] &amp; " " &amp; Table4[[#This Row],[Merkki ja malli]]</f>
        <v>Lahden ATK klinikka Apple Watch Series 9 GPS + Cellular</v>
      </c>
      <c r="G51" t="s">
        <v>4</v>
      </c>
      <c r="I51" s="29" cm="1">
        <f t="array" ref="I51">_xlfn.XLOOKUP(Table4[[#This Row],[Malli]],'Älykello tuotehinta'!$A$2:$A$6,_xlfn.XLOOKUP(Table4[[#This Row],[Tuote]],'Älykello tuotehinta'!$B$1:$D$1,'Älykello tuotehinta'!$B$2:$D$6))</f>
        <v>85</v>
      </c>
      <c r="J51" s="29">
        <f>_xlfn.XLOOKUP(Table4[[#This Row],[Malli]],'Älykellon Hinta'!$B$2:$B$6,'Älykellon Hinta'!$C$2:$C$6)</f>
        <v>575</v>
      </c>
    </row>
    <row r="52" spans="1:10">
      <c r="A52">
        <f t="shared" si="1"/>
        <v>51</v>
      </c>
      <c r="B52" t="s">
        <v>60</v>
      </c>
      <c r="C52" t="s">
        <v>22</v>
      </c>
      <c r="D52" t="s">
        <v>49</v>
      </c>
      <c r="E52" t="str">
        <f>Table4[[#This Row],[Merkki]] &amp; " " &amp; Table4[[#This Row],[Malli]]</f>
        <v>Apple Watch Series 9 GPS + Cellular</v>
      </c>
      <c r="F52" t="str">
        <f xml:space="preserve"> Table4[[#This Row],[Liike]] &amp; " " &amp; Table4[[#This Row],[Merkki ja malli]]</f>
        <v>Lahden ATK klinikka Apple Watch Series 9 GPS + Cellular</v>
      </c>
      <c r="G52" t="s">
        <v>52</v>
      </c>
      <c r="I52" s="29" cm="1">
        <f t="array" ref="I52">_xlfn.XLOOKUP(Table4[[#This Row],[Malli]],'Älykello tuotehinta'!$A$2:$A$6,_xlfn.XLOOKUP(Table4[[#This Row],[Tuote]],'Älykello tuotehinta'!$B$1:$D$1,'Älykello tuotehinta'!$B$2:$D$6))</f>
        <v>65</v>
      </c>
      <c r="J52" s="29">
        <f>_xlfn.XLOOKUP(Table4[[#This Row],[Malli]],'Älykellon Hinta'!$B$2:$B$6,'Älykellon Hinta'!$C$2:$C$6)</f>
        <v>575</v>
      </c>
    </row>
    <row r="53" spans="1:10">
      <c r="A53">
        <f t="shared" si="1"/>
        <v>52</v>
      </c>
      <c r="B53" t="s">
        <v>60</v>
      </c>
      <c r="C53" t="s">
        <v>54</v>
      </c>
      <c r="D53" t="s">
        <v>55</v>
      </c>
      <c r="E53" t="str">
        <f>Table4[[#This Row],[Merkki]] &amp; " " &amp; Table4[[#This Row],[Malli]]</f>
        <v>Huawei Watch Fit 3</v>
      </c>
      <c r="F53" t="str">
        <f xml:space="preserve"> Table4[[#This Row],[Liike]] &amp; " " &amp; Table4[[#This Row],[Merkki ja malli]]</f>
        <v>Lahden ATK klinikka Huawei Watch Fit 3</v>
      </c>
      <c r="G53" t="s">
        <v>26</v>
      </c>
      <c r="I53" s="29" cm="1">
        <f t="array" ref="I53">_xlfn.XLOOKUP(Table4[[#This Row],[Malli]],'Älykello tuotehinta'!$A$2:$A$6,_xlfn.XLOOKUP(Table4[[#This Row],[Tuote]],'Älykello tuotehinta'!$B$1:$D$1,'Älykello tuotehinta'!$B$2:$D$6))</f>
        <v>52</v>
      </c>
      <c r="J53" s="29">
        <f>_xlfn.XLOOKUP(Table4[[#This Row],[Malli]],'Älykellon Hinta'!$B$2:$B$6,'Älykellon Hinta'!$C$2:$C$6)</f>
        <v>137</v>
      </c>
    </row>
    <row r="54" spans="1:10">
      <c r="A54">
        <f t="shared" si="1"/>
        <v>53</v>
      </c>
      <c r="B54" t="s">
        <v>60</v>
      </c>
      <c r="C54" t="s">
        <v>54</v>
      </c>
      <c r="D54" t="s">
        <v>55</v>
      </c>
      <c r="E54" t="str">
        <f>Table4[[#This Row],[Merkki]] &amp; " " &amp; Table4[[#This Row],[Malli]]</f>
        <v>Huawei Watch Fit 3</v>
      </c>
      <c r="F54" t="str">
        <f xml:space="preserve"> Table4[[#This Row],[Liike]] &amp; " " &amp; Table4[[#This Row],[Merkki ja malli]]</f>
        <v>Lahden ATK klinikka Huawei Watch Fit 3</v>
      </c>
      <c r="G54" t="s">
        <v>4</v>
      </c>
      <c r="I54" s="29" cm="1">
        <f t="array" ref="I54">_xlfn.XLOOKUP(Table4[[#This Row],[Malli]],'Älykello tuotehinta'!$A$2:$A$6,_xlfn.XLOOKUP(Table4[[#This Row],[Tuote]],'Älykello tuotehinta'!$B$1:$D$1,'Älykello tuotehinta'!$B$2:$D$6))</f>
        <v>8</v>
      </c>
      <c r="J54" s="29">
        <f>_xlfn.XLOOKUP(Table4[[#This Row],[Malli]],'Älykellon Hinta'!$B$2:$B$6,'Älykellon Hinta'!$C$2:$C$6)</f>
        <v>137</v>
      </c>
    </row>
    <row r="55" spans="1:10">
      <c r="A55">
        <f t="shared" si="1"/>
        <v>54</v>
      </c>
      <c r="B55" t="s">
        <v>60</v>
      </c>
      <c r="C55" t="s">
        <v>54</v>
      </c>
      <c r="D55" t="s">
        <v>55</v>
      </c>
      <c r="E55" t="str">
        <f>Table4[[#This Row],[Merkki]] &amp; " " &amp; Table4[[#This Row],[Malli]]</f>
        <v>Huawei Watch Fit 3</v>
      </c>
      <c r="F55" t="str">
        <f xml:space="preserve"> Table4[[#This Row],[Liike]] &amp; " " &amp; Table4[[#This Row],[Merkki ja malli]]</f>
        <v>Lahden ATK klinikka Huawei Watch Fit 3</v>
      </c>
      <c r="G55" t="s">
        <v>52</v>
      </c>
      <c r="I55" s="29" cm="1">
        <f t="array" ref="I55">_xlfn.XLOOKUP(Table4[[#This Row],[Malli]],'Älykello tuotehinta'!$A$2:$A$6,_xlfn.XLOOKUP(Table4[[#This Row],[Tuote]],'Älykello tuotehinta'!$B$1:$D$1,'Älykello tuotehinta'!$B$2:$D$6))</f>
        <v>34</v>
      </c>
      <c r="J55" s="29">
        <f>_xlfn.XLOOKUP(Table4[[#This Row],[Malli]],'Älykellon Hinta'!$B$2:$B$6,'Älykellon Hinta'!$C$2:$C$6)</f>
        <v>137</v>
      </c>
    </row>
    <row r="56" spans="1:10">
      <c r="A56">
        <f t="shared" si="1"/>
        <v>55</v>
      </c>
      <c r="B56" t="s">
        <v>60</v>
      </c>
      <c r="C56" t="s">
        <v>17</v>
      </c>
      <c r="D56" t="s">
        <v>50</v>
      </c>
      <c r="E56" t="str">
        <f>Table4[[#This Row],[Merkki]] &amp; " " &amp; Table4[[#This Row],[Malli]]</f>
        <v>OnePlus Watch 2</v>
      </c>
      <c r="F56" t="str">
        <f xml:space="preserve"> Table4[[#This Row],[Liike]] &amp; " " &amp; Table4[[#This Row],[Merkki ja malli]]</f>
        <v>Lahden ATK klinikka OnePlus Watch 2</v>
      </c>
      <c r="G56" t="s">
        <v>26</v>
      </c>
      <c r="I56" s="29" cm="1">
        <f t="array" ref="I56">_xlfn.XLOOKUP(Table4[[#This Row],[Malli]],'Älykello tuotehinta'!$A$2:$A$6,_xlfn.XLOOKUP(Table4[[#This Row],[Tuote]],'Älykello tuotehinta'!$B$1:$D$1,'Älykello tuotehinta'!$B$2:$D$6))</f>
        <v>64</v>
      </c>
      <c r="J56" s="29">
        <f>_xlfn.XLOOKUP(Table4[[#This Row],[Malli]],'Älykellon Hinta'!$B$2:$B$6,'Älykellon Hinta'!$C$2:$C$6)</f>
        <v>254</v>
      </c>
    </row>
    <row r="57" spans="1:10">
      <c r="A57">
        <f t="shared" si="1"/>
        <v>56</v>
      </c>
      <c r="B57" t="s">
        <v>60</v>
      </c>
      <c r="C57" t="s">
        <v>17</v>
      </c>
      <c r="D57" t="s">
        <v>50</v>
      </c>
      <c r="E57" t="str">
        <f>Table4[[#This Row],[Merkki]] &amp; " " &amp; Table4[[#This Row],[Malli]]</f>
        <v>OnePlus Watch 2</v>
      </c>
      <c r="F57" t="str">
        <f xml:space="preserve"> Table4[[#This Row],[Liike]] &amp; " " &amp; Table4[[#This Row],[Merkki ja malli]]</f>
        <v>Lahden ATK klinikka OnePlus Watch 2</v>
      </c>
      <c r="G57" t="s">
        <v>4</v>
      </c>
      <c r="I57" s="29" cm="1">
        <f t="array" ref="I57">_xlfn.XLOOKUP(Table4[[#This Row],[Malli]],'Älykello tuotehinta'!$A$2:$A$6,_xlfn.XLOOKUP(Table4[[#This Row],[Tuote]],'Älykello tuotehinta'!$B$1:$D$1,'Älykello tuotehinta'!$B$2:$D$6))</f>
        <v>18</v>
      </c>
      <c r="J57" s="29">
        <f>_xlfn.XLOOKUP(Table4[[#This Row],[Malli]],'Älykellon Hinta'!$B$2:$B$6,'Älykellon Hinta'!$C$2:$C$6)</f>
        <v>254</v>
      </c>
    </row>
    <row r="58" spans="1:10">
      <c r="A58">
        <f t="shared" si="1"/>
        <v>57</v>
      </c>
      <c r="B58" t="s">
        <v>60</v>
      </c>
      <c r="C58" t="s">
        <v>17</v>
      </c>
      <c r="D58" t="s">
        <v>50</v>
      </c>
      <c r="E58" t="str">
        <f>Table4[[#This Row],[Merkki]] &amp; " " &amp; Table4[[#This Row],[Malli]]</f>
        <v>OnePlus Watch 2</v>
      </c>
      <c r="F58" t="str">
        <f xml:space="preserve"> Table4[[#This Row],[Liike]] &amp; " " &amp; Table4[[#This Row],[Merkki ja malli]]</f>
        <v>Lahden ATK klinikka OnePlus Watch 2</v>
      </c>
      <c r="G58" t="s">
        <v>52</v>
      </c>
      <c r="I58" s="29" cm="1">
        <f t="array" ref="I58">_xlfn.XLOOKUP(Table4[[#This Row],[Malli]],'Älykello tuotehinta'!$A$2:$A$6,_xlfn.XLOOKUP(Table4[[#This Row],[Tuote]],'Älykello tuotehinta'!$B$1:$D$1,'Älykello tuotehinta'!$B$2:$D$6))</f>
        <v>13</v>
      </c>
      <c r="J58" s="29">
        <f>_xlfn.XLOOKUP(Table4[[#This Row],[Malli]],'Älykellon Hinta'!$B$2:$B$6,'Älykellon Hinta'!$C$2:$C$6)</f>
        <v>254</v>
      </c>
    </row>
    <row r="59" spans="1:10">
      <c r="A59">
        <f t="shared" si="1"/>
        <v>58</v>
      </c>
      <c r="B59" t="s">
        <v>60</v>
      </c>
      <c r="C59" t="s">
        <v>47</v>
      </c>
      <c r="D59" t="s">
        <v>48</v>
      </c>
      <c r="E59" t="str">
        <f>Table4[[#This Row],[Merkki]] &amp; " " &amp; Table4[[#This Row],[Malli]]</f>
        <v>Xplora Watch XGO3 4G – lasten kellopuhelin</v>
      </c>
      <c r="F59" t="str">
        <f xml:space="preserve"> Table4[[#This Row],[Liike]] &amp; " " &amp; Table4[[#This Row],[Merkki ja malli]]</f>
        <v>Lahden ATK klinikka Xplora Watch XGO3 4G – lasten kellopuhelin</v>
      </c>
      <c r="G59" t="s">
        <v>26</v>
      </c>
      <c r="I59" s="29" cm="1">
        <f t="array" ref="I59">_xlfn.XLOOKUP(Table4[[#This Row],[Malli]],'Älykello tuotehinta'!$A$2:$A$6,_xlfn.XLOOKUP(Table4[[#This Row],[Tuote]],'Älykello tuotehinta'!$B$1:$D$1,'Älykello tuotehinta'!$B$2:$D$6))</f>
        <v>40</v>
      </c>
      <c r="J59" s="29">
        <f>_xlfn.XLOOKUP(Table4[[#This Row],[Malli]],'Älykellon Hinta'!$B$2:$B$6,'Älykellon Hinta'!$C$2:$C$6)</f>
        <v>134</v>
      </c>
    </row>
    <row r="60" spans="1:10">
      <c r="A60">
        <f t="shared" si="1"/>
        <v>59</v>
      </c>
      <c r="B60" t="s">
        <v>60</v>
      </c>
      <c r="C60" t="s">
        <v>47</v>
      </c>
      <c r="D60" t="s">
        <v>48</v>
      </c>
      <c r="E60" t="str">
        <f>Table4[[#This Row],[Merkki]] &amp; " " &amp; Table4[[#This Row],[Malli]]</f>
        <v>Xplora Watch XGO3 4G – lasten kellopuhelin</v>
      </c>
      <c r="F60" t="str">
        <f xml:space="preserve"> Table4[[#This Row],[Liike]] &amp; " " &amp; Table4[[#This Row],[Merkki ja malli]]</f>
        <v>Lahden ATK klinikka Xplora Watch XGO3 4G – lasten kellopuhelin</v>
      </c>
      <c r="G60" t="s">
        <v>4</v>
      </c>
      <c r="I60" s="29" cm="1">
        <f t="array" ref="I60">_xlfn.XLOOKUP(Table4[[#This Row],[Malli]],'Älykello tuotehinta'!$A$2:$A$6,_xlfn.XLOOKUP(Table4[[#This Row],[Tuote]],'Älykello tuotehinta'!$B$1:$D$1,'Älykello tuotehinta'!$B$2:$D$6))</f>
        <v>24</v>
      </c>
      <c r="J60" s="29">
        <f>_xlfn.XLOOKUP(Table4[[#This Row],[Malli]],'Älykellon Hinta'!$B$2:$B$6,'Älykellon Hinta'!$C$2:$C$6)</f>
        <v>134</v>
      </c>
    </row>
    <row r="61" spans="1:10">
      <c r="A61">
        <f t="shared" si="1"/>
        <v>60</v>
      </c>
      <c r="B61" t="s">
        <v>60</v>
      </c>
      <c r="C61" t="s">
        <v>47</v>
      </c>
      <c r="D61" t="s">
        <v>48</v>
      </c>
      <c r="E61" t="str">
        <f>Table4[[#This Row],[Merkki]] &amp; " " &amp; Table4[[#This Row],[Malli]]</f>
        <v>Xplora Watch XGO3 4G – lasten kellopuhelin</v>
      </c>
      <c r="F61" t="str">
        <f xml:space="preserve"> Table4[[#This Row],[Liike]] &amp; " " &amp; Table4[[#This Row],[Merkki ja malli]]</f>
        <v>Lahden ATK klinikka Xplora Watch XGO3 4G – lasten kellopuhelin</v>
      </c>
      <c r="G61" t="s">
        <v>52</v>
      </c>
      <c r="I61" s="29" cm="1">
        <f t="array" ref="I61">_xlfn.XLOOKUP(Table4[[#This Row],[Malli]],'Älykello tuotehinta'!$A$2:$A$6,_xlfn.XLOOKUP(Table4[[#This Row],[Tuote]],'Älykello tuotehinta'!$B$1:$D$1,'Älykello tuotehinta'!$B$2:$D$6))</f>
        <v>11</v>
      </c>
      <c r="J61" s="29">
        <f>_xlfn.XLOOKUP(Table4[[#This Row],[Malli]],'Älykellon Hinta'!$B$2:$B$6,'Älykellon Hinta'!$C$2:$C$6)</f>
        <v>134</v>
      </c>
    </row>
    <row r="62" spans="1:10">
      <c r="A62">
        <f t="shared" si="1"/>
        <v>61</v>
      </c>
      <c r="B62" t="s">
        <v>41</v>
      </c>
      <c r="C62" t="s">
        <v>22</v>
      </c>
      <c r="D62" t="s">
        <v>51</v>
      </c>
      <c r="E62" t="str">
        <f>Table4[[#This Row],[Merkki]] &amp; " " &amp; Table4[[#This Row],[Malli]]</f>
        <v>Apple Watch SE GPS</v>
      </c>
      <c r="F62" t="str">
        <f xml:space="preserve"> Table4[[#This Row],[Liike]] &amp; " " &amp; Table4[[#This Row],[Merkki ja malli]]</f>
        <v>Puhelinhuolto Apple Watch SE GPS</v>
      </c>
      <c r="G62" t="s">
        <v>26</v>
      </c>
      <c r="I62" s="29" cm="1">
        <f t="array" ref="I62">_xlfn.XLOOKUP(Table4[[#This Row],[Malli]],'Älykello tuotehinta'!$A$2:$A$6,_xlfn.XLOOKUP(Table4[[#This Row],[Tuote]],'Älykello tuotehinta'!$B$1:$D$1,'Älykello tuotehinta'!$B$2:$D$6))</f>
        <v>100</v>
      </c>
      <c r="J62" s="29">
        <f>_xlfn.XLOOKUP(Table4[[#This Row],[Malli]],'Älykellon Hinta'!$B$2:$B$6,'Älykellon Hinta'!$C$2:$C$6)</f>
        <v>275</v>
      </c>
    </row>
    <row r="63" spans="1:10">
      <c r="A63">
        <f t="shared" si="1"/>
        <v>62</v>
      </c>
      <c r="B63" t="s">
        <v>41</v>
      </c>
      <c r="C63" t="s">
        <v>22</v>
      </c>
      <c r="D63" t="s">
        <v>51</v>
      </c>
      <c r="E63" t="str">
        <f>Table4[[#This Row],[Merkki]] &amp; " " &amp; Table4[[#This Row],[Malli]]</f>
        <v>Apple Watch SE GPS</v>
      </c>
      <c r="F63" t="str">
        <f xml:space="preserve"> Table4[[#This Row],[Liike]] &amp; " " &amp; Table4[[#This Row],[Merkki ja malli]]</f>
        <v>Puhelinhuolto Apple Watch SE GPS</v>
      </c>
      <c r="G63" t="s">
        <v>4</v>
      </c>
      <c r="I63" s="29" cm="1">
        <f t="array" ref="I63">_xlfn.XLOOKUP(Table4[[#This Row],[Malli]],'Älykello tuotehinta'!$A$2:$A$6,_xlfn.XLOOKUP(Table4[[#This Row],[Tuote]],'Älykello tuotehinta'!$B$1:$D$1,'Älykello tuotehinta'!$B$2:$D$6))</f>
        <v>73</v>
      </c>
      <c r="J63" s="29">
        <f>_xlfn.XLOOKUP(Table4[[#This Row],[Malli]],'Älykellon Hinta'!$B$2:$B$6,'Älykellon Hinta'!$C$2:$C$6)</f>
        <v>275</v>
      </c>
    </row>
    <row r="64" spans="1:10">
      <c r="A64">
        <f t="shared" si="1"/>
        <v>63</v>
      </c>
      <c r="B64" t="s">
        <v>41</v>
      </c>
      <c r="C64" t="s">
        <v>22</v>
      </c>
      <c r="D64" t="s">
        <v>51</v>
      </c>
      <c r="E64" t="str">
        <f>Table4[[#This Row],[Merkki]] &amp; " " &amp; Table4[[#This Row],[Malli]]</f>
        <v>Apple Watch SE GPS</v>
      </c>
      <c r="F64" t="str">
        <f xml:space="preserve"> Table4[[#This Row],[Liike]] &amp; " " &amp; Table4[[#This Row],[Merkki ja malli]]</f>
        <v>Puhelinhuolto Apple Watch SE GPS</v>
      </c>
      <c r="G64" t="s">
        <v>52</v>
      </c>
      <c r="I64" s="29" cm="1">
        <f t="array" ref="I64">_xlfn.XLOOKUP(Table4[[#This Row],[Malli]],'Älykello tuotehinta'!$A$2:$A$6,_xlfn.XLOOKUP(Table4[[#This Row],[Tuote]],'Älykello tuotehinta'!$B$1:$D$1,'Älykello tuotehinta'!$B$2:$D$6))</f>
        <v>25</v>
      </c>
      <c r="J64" s="29">
        <f>_xlfn.XLOOKUP(Table4[[#This Row],[Malli]],'Älykellon Hinta'!$B$2:$B$6,'Älykellon Hinta'!$C$2:$C$6)</f>
        <v>275</v>
      </c>
    </row>
    <row r="65" spans="1:10">
      <c r="A65">
        <f t="shared" si="1"/>
        <v>64</v>
      </c>
      <c r="B65" t="s">
        <v>41</v>
      </c>
      <c r="C65" t="s">
        <v>22</v>
      </c>
      <c r="D65" t="s">
        <v>49</v>
      </c>
      <c r="E65" t="str">
        <f>Table4[[#This Row],[Merkki]] &amp; " " &amp; Table4[[#This Row],[Malli]]</f>
        <v>Apple Watch Series 9 GPS + Cellular</v>
      </c>
      <c r="F65" t="str">
        <f xml:space="preserve"> Table4[[#This Row],[Liike]] &amp; " " &amp; Table4[[#This Row],[Merkki ja malli]]</f>
        <v>Puhelinhuolto Apple Watch Series 9 GPS + Cellular</v>
      </c>
      <c r="G65" t="s">
        <v>26</v>
      </c>
      <c r="I65" s="29" cm="1">
        <f t="array" ref="I65">_xlfn.XLOOKUP(Table4[[#This Row],[Malli]],'Älykello tuotehinta'!$A$2:$A$6,_xlfn.XLOOKUP(Table4[[#This Row],[Tuote]],'Älykello tuotehinta'!$B$1:$D$1,'Älykello tuotehinta'!$B$2:$D$6))</f>
        <v>230</v>
      </c>
      <c r="J65" s="29">
        <f>_xlfn.XLOOKUP(Table4[[#This Row],[Malli]],'Älykellon Hinta'!$B$2:$B$6,'Älykellon Hinta'!$C$2:$C$6)</f>
        <v>575</v>
      </c>
    </row>
    <row r="66" spans="1:10">
      <c r="A66">
        <f t="shared" si="1"/>
        <v>65</v>
      </c>
      <c r="B66" t="s">
        <v>41</v>
      </c>
      <c r="C66" t="s">
        <v>22</v>
      </c>
      <c r="D66" t="s">
        <v>49</v>
      </c>
      <c r="E66" t="str">
        <f>Table4[[#This Row],[Merkki]] &amp; " " &amp; Table4[[#This Row],[Malli]]</f>
        <v>Apple Watch Series 9 GPS + Cellular</v>
      </c>
      <c r="F66" t="str">
        <f xml:space="preserve"> Table4[[#This Row],[Liike]] &amp; " " &amp; Table4[[#This Row],[Merkki ja malli]]</f>
        <v>Puhelinhuolto Apple Watch Series 9 GPS + Cellular</v>
      </c>
      <c r="G66" t="s">
        <v>4</v>
      </c>
      <c r="I66" s="29" cm="1">
        <f t="array" ref="I66">_xlfn.XLOOKUP(Table4[[#This Row],[Malli]],'Älykello tuotehinta'!$A$2:$A$6,_xlfn.XLOOKUP(Table4[[#This Row],[Tuote]],'Älykello tuotehinta'!$B$1:$D$1,'Älykello tuotehinta'!$B$2:$D$6))</f>
        <v>85</v>
      </c>
      <c r="J66" s="29">
        <f>_xlfn.XLOOKUP(Table4[[#This Row],[Malli]],'Älykellon Hinta'!$B$2:$B$6,'Älykellon Hinta'!$C$2:$C$6)</f>
        <v>575</v>
      </c>
    </row>
    <row r="67" spans="1:10">
      <c r="A67">
        <f t="shared" si="1"/>
        <v>66</v>
      </c>
      <c r="B67" t="s">
        <v>41</v>
      </c>
      <c r="C67" t="s">
        <v>22</v>
      </c>
      <c r="D67" t="s">
        <v>49</v>
      </c>
      <c r="E67" t="str">
        <f>Table4[[#This Row],[Merkki]] &amp; " " &amp; Table4[[#This Row],[Malli]]</f>
        <v>Apple Watch Series 9 GPS + Cellular</v>
      </c>
      <c r="F67" t="str">
        <f xml:space="preserve"> Table4[[#This Row],[Liike]] &amp; " " &amp; Table4[[#This Row],[Merkki ja malli]]</f>
        <v>Puhelinhuolto Apple Watch Series 9 GPS + Cellular</v>
      </c>
      <c r="G67" t="s">
        <v>52</v>
      </c>
      <c r="I67" s="29" cm="1">
        <f t="array" ref="I67">_xlfn.XLOOKUP(Table4[[#This Row],[Malli]],'Älykello tuotehinta'!$A$2:$A$6,_xlfn.XLOOKUP(Table4[[#This Row],[Tuote]],'Älykello tuotehinta'!$B$1:$D$1,'Älykello tuotehinta'!$B$2:$D$6))</f>
        <v>65</v>
      </c>
      <c r="J67" s="29">
        <f>_xlfn.XLOOKUP(Table4[[#This Row],[Malli]],'Älykellon Hinta'!$B$2:$B$6,'Älykellon Hinta'!$C$2:$C$6)</f>
        <v>575</v>
      </c>
    </row>
    <row r="68" spans="1:10">
      <c r="A68">
        <f t="shared" si="1"/>
        <v>67</v>
      </c>
      <c r="B68" t="s">
        <v>41</v>
      </c>
      <c r="C68" t="s">
        <v>54</v>
      </c>
      <c r="D68" t="s">
        <v>55</v>
      </c>
      <c r="E68" t="str">
        <f>Table4[[#This Row],[Merkki]] &amp; " " &amp; Table4[[#This Row],[Malli]]</f>
        <v>Huawei Watch Fit 3</v>
      </c>
      <c r="F68" t="str">
        <f xml:space="preserve"> Table4[[#This Row],[Liike]] &amp; " " &amp; Table4[[#This Row],[Merkki ja malli]]</f>
        <v>Puhelinhuolto Huawei Watch Fit 3</v>
      </c>
      <c r="G68" t="s">
        <v>26</v>
      </c>
      <c r="I68" s="29" cm="1">
        <f t="array" ref="I68">_xlfn.XLOOKUP(Table4[[#This Row],[Malli]],'Älykello tuotehinta'!$A$2:$A$6,_xlfn.XLOOKUP(Table4[[#This Row],[Tuote]],'Älykello tuotehinta'!$B$1:$D$1,'Älykello tuotehinta'!$B$2:$D$6))</f>
        <v>52</v>
      </c>
      <c r="J68" s="29">
        <f>_xlfn.XLOOKUP(Table4[[#This Row],[Malli]],'Älykellon Hinta'!$B$2:$B$6,'Älykellon Hinta'!$C$2:$C$6)</f>
        <v>137</v>
      </c>
    </row>
    <row r="69" spans="1:10">
      <c r="A69">
        <f t="shared" si="1"/>
        <v>68</v>
      </c>
      <c r="B69" t="s">
        <v>41</v>
      </c>
      <c r="C69" t="s">
        <v>54</v>
      </c>
      <c r="D69" t="s">
        <v>55</v>
      </c>
      <c r="E69" t="str">
        <f>Table4[[#This Row],[Merkki]] &amp; " " &amp; Table4[[#This Row],[Malli]]</f>
        <v>Huawei Watch Fit 3</v>
      </c>
      <c r="F69" t="str">
        <f xml:space="preserve"> Table4[[#This Row],[Liike]] &amp; " " &amp; Table4[[#This Row],[Merkki ja malli]]</f>
        <v>Puhelinhuolto Huawei Watch Fit 3</v>
      </c>
      <c r="G69" t="s">
        <v>4</v>
      </c>
      <c r="I69" s="29" cm="1">
        <f t="array" ref="I69">_xlfn.XLOOKUP(Table4[[#This Row],[Malli]],'Älykello tuotehinta'!$A$2:$A$6,_xlfn.XLOOKUP(Table4[[#This Row],[Tuote]],'Älykello tuotehinta'!$B$1:$D$1,'Älykello tuotehinta'!$B$2:$D$6))</f>
        <v>8</v>
      </c>
      <c r="J69" s="29">
        <f>_xlfn.XLOOKUP(Table4[[#This Row],[Malli]],'Älykellon Hinta'!$B$2:$B$6,'Älykellon Hinta'!$C$2:$C$6)</f>
        <v>137</v>
      </c>
    </row>
    <row r="70" spans="1:10">
      <c r="A70">
        <f t="shared" si="1"/>
        <v>69</v>
      </c>
      <c r="B70" t="s">
        <v>41</v>
      </c>
      <c r="C70" t="s">
        <v>54</v>
      </c>
      <c r="D70" t="s">
        <v>55</v>
      </c>
      <c r="E70" t="str">
        <f>Table4[[#This Row],[Merkki]] &amp; " " &amp; Table4[[#This Row],[Malli]]</f>
        <v>Huawei Watch Fit 3</v>
      </c>
      <c r="F70" t="str">
        <f xml:space="preserve"> Table4[[#This Row],[Liike]] &amp; " " &amp; Table4[[#This Row],[Merkki ja malli]]</f>
        <v>Puhelinhuolto Huawei Watch Fit 3</v>
      </c>
      <c r="G70" t="s">
        <v>52</v>
      </c>
      <c r="I70" s="29" cm="1">
        <f t="array" ref="I70">_xlfn.XLOOKUP(Table4[[#This Row],[Malli]],'Älykello tuotehinta'!$A$2:$A$6,_xlfn.XLOOKUP(Table4[[#This Row],[Tuote]],'Älykello tuotehinta'!$B$1:$D$1,'Älykello tuotehinta'!$B$2:$D$6))</f>
        <v>34</v>
      </c>
      <c r="J70" s="29">
        <f>_xlfn.XLOOKUP(Table4[[#This Row],[Malli]],'Älykellon Hinta'!$B$2:$B$6,'Älykellon Hinta'!$C$2:$C$6)</f>
        <v>137</v>
      </c>
    </row>
    <row r="71" spans="1:10">
      <c r="A71">
        <f t="shared" si="1"/>
        <v>70</v>
      </c>
      <c r="B71" t="s">
        <v>41</v>
      </c>
      <c r="C71" t="s">
        <v>17</v>
      </c>
      <c r="D71" t="s">
        <v>50</v>
      </c>
      <c r="E71" t="str">
        <f>Table4[[#This Row],[Merkki]] &amp; " " &amp; Table4[[#This Row],[Malli]]</f>
        <v>OnePlus Watch 2</v>
      </c>
      <c r="F71" t="str">
        <f xml:space="preserve"> Table4[[#This Row],[Liike]] &amp; " " &amp; Table4[[#This Row],[Merkki ja malli]]</f>
        <v>Puhelinhuolto OnePlus Watch 2</v>
      </c>
      <c r="G71" t="s">
        <v>26</v>
      </c>
      <c r="I71" s="29" cm="1">
        <f t="array" ref="I71">_xlfn.XLOOKUP(Table4[[#This Row],[Malli]],'Älykello tuotehinta'!$A$2:$A$6,_xlfn.XLOOKUP(Table4[[#This Row],[Tuote]],'Älykello tuotehinta'!$B$1:$D$1,'Älykello tuotehinta'!$B$2:$D$6))</f>
        <v>64</v>
      </c>
      <c r="J71" s="29">
        <f>_xlfn.XLOOKUP(Table4[[#This Row],[Malli]],'Älykellon Hinta'!$B$2:$B$6,'Älykellon Hinta'!$C$2:$C$6)</f>
        <v>254</v>
      </c>
    </row>
    <row r="72" spans="1:10">
      <c r="A72">
        <f t="shared" si="1"/>
        <v>71</v>
      </c>
      <c r="B72" t="s">
        <v>41</v>
      </c>
      <c r="C72" t="s">
        <v>17</v>
      </c>
      <c r="D72" t="s">
        <v>50</v>
      </c>
      <c r="E72" t="str">
        <f>Table4[[#This Row],[Merkki]] &amp; " " &amp; Table4[[#This Row],[Malli]]</f>
        <v>OnePlus Watch 2</v>
      </c>
      <c r="F72" t="str">
        <f xml:space="preserve"> Table4[[#This Row],[Liike]] &amp; " " &amp; Table4[[#This Row],[Merkki ja malli]]</f>
        <v>Puhelinhuolto OnePlus Watch 2</v>
      </c>
      <c r="G72" t="s">
        <v>4</v>
      </c>
      <c r="I72" s="29" cm="1">
        <f t="array" ref="I72">_xlfn.XLOOKUP(Table4[[#This Row],[Malli]],'Älykello tuotehinta'!$A$2:$A$6,_xlfn.XLOOKUP(Table4[[#This Row],[Tuote]],'Älykello tuotehinta'!$B$1:$D$1,'Älykello tuotehinta'!$B$2:$D$6))</f>
        <v>18</v>
      </c>
      <c r="J72" s="29">
        <f>_xlfn.XLOOKUP(Table4[[#This Row],[Malli]],'Älykellon Hinta'!$B$2:$B$6,'Älykellon Hinta'!$C$2:$C$6)</f>
        <v>254</v>
      </c>
    </row>
    <row r="73" spans="1:10">
      <c r="A73">
        <f t="shared" si="1"/>
        <v>72</v>
      </c>
      <c r="B73" t="s">
        <v>41</v>
      </c>
      <c r="C73" t="s">
        <v>17</v>
      </c>
      <c r="D73" t="s">
        <v>50</v>
      </c>
      <c r="E73" t="str">
        <f>Table4[[#This Row],[Merkki]] &amp; " " &amp; Table4[[#This Row],[Malli]]</f>
        <v>OnePlus Watch 2</v>
      </c>
      <c r="F73" t="str">
        <f xml:space="preserve"> Table4[[#This Row],[Liike]] &amp; " " &amp; Table4[[#This Row],[Merkki ja malli]]</f>
        <v>Puhelinhuolto OnePlus Watch 2</v>
      </c>
      <c r="G73" t="s">
        <v>52</v>
      </c>
      <c r="I73" s="29" cm="1">
        <f t="array" ref="I73">_xlfn.XLOOKUP(Table4[[#This Row],[Malli]],'Älykello tuotehinta'!$A$2:$A$6,_xlfn.XLOOKUP(Table4[[#This Row],[Tuote]],'Älykello tuotehinta'!$B$1:$D$1,'Älykello tuotehinta'!$B$2:$D$6))</f>
        <v>13</v>
      </c>
      <c r="J73" s="29">
        <f>_xlfn.XLOOKUP(Table4[[#This Row],[Malli]],'Älykellon Hinta'!$B$2:$B$6,'Älykellon Hinta'!$C$2:$C$6)</f>
        <v>254</v>
      </c>
    </row>
    <row r="74" spans="1:10">
      <c r="A74">
        <f t="shared" si="1"/>
        <v>73</v>
      </c>
      <c r="B74" t="s">
        <v>41</v>
      </c>
      <c r="C74" t="s">
        <v>47</v>
      </c>
      <c r="D74" t="s">
        <v>48</v>
      </c>
      <c r="E74" t="str">
        <f>Table4[[#This Row],[Merkki]] &amp; " " &amp; Table4[[#This Row],[Malli]]</f>
        <v>Xplora Watch XGO3 4G – lasten kellopuhelin</v>
      </c>
      <c r="F74" t="str">
        <f xml:space="preserve"> Table4[[#This Row],[Liike]] &amp; " " &amp; Table4[[#This Row],[Merkki ja malli]]</f>
        <v>Puhelinhuolto Xplora Watch XGO3 4G – lasten kellopuhelin</v>
      </c>
      <c r="G74" t="s">
        <v>26</v>
      </c>
      <c r="I74" s="29" cm="1">
        <f t="array" ref="I74">_xlfn.XLOOKUP(Table4[[#This Row],[Malli]],'Älykello tuotehinta'!$A$2:$A$6,_xlfn.XLOOKUP(Table4[[#This Row],[Tuote]],'Älykello tuotehinta'!$B$1:$D$1,'Älykello tuotehinta'!$B$2:$D$6))</f>
        <v>40</v>
      </c>
      <c r="J74" s="29">
        <f>_xlfn.XLOOKUP(Table4[[#This Row],[Malli]],'Älykellon Hinta'!$B$2:$B$6,'Älykellon Hinta'!$C$2:$C$6)</f>
        <v>134</v>
      </c>
    </row>
    <row r="75" spans="1:10">
      <c r="A75">
        <f t="shared" si="1"/>
        <v>74</v>
      </c>
      <c r="B75" t="s">
        <v>41</v>
      </c>
      <c r="C75" t="s">
        <v>47</v>
      </c>
      <c r="D75" t="s">
        <v>48</v>
      </c>
      <c r="E75" t="str">
        <f>Table4[[#This Row],[Merkki]] &amp; " " &amp; Table4[[#This Row],[Malli]]</f>
        <v>Xplora Watch XGO3 4G – lasten kellopuhelin</v>
      </c>
      <c r="F75" t="str">
        <f xml:space="preserve"> Table4[[#This Row],[Liike]] &amp; " " &amp; Table4[[#This Row],[Merkki ja malli]]</f>
        <v>Puhelinhuolto Xplora Watch XGO3 4G – lasten kellopuhelin</v>
      </c>
      <c r="G75" t="s">
        <v>4</v>
      </c>
      <c r="I75" s="29" cm="1">
        <f t="array" ref="I75">_xlfn.XLOOKUP(Table4[[#This Row],[Malli]],'Älykello tuotehinta'!$A$2:$A$6,_xlfn.XLOOKUP(Table4[[#This Row],[Tuote]],'Älykello tuotehinta'!$B$1:$D$1,'Älykello tuotehinta'!$B$2:$D$6))</f>
        <v>24</v>
      </c>
      <c r="J75" s="29">
        <f>_xlfn.XLOOKUP(Table4[[#This Row],[Malli]],'Älykellon Hinta'!$B$2:$B$6,'Älykellon Hinta'!$C$2:$C$6)</f>
        <v>134</v>
      </c>
    </row>
    <row r="76" spans="1:10">
      <c r="A76">
        <f t="shared" si="1"/>
        <v>75</v>
      </c>
      <c r="B76" t="s">
        <v>41</v>
      </c>
      <c r="C76" t="s">
        <v>47</v>
      </c>
      <c r="D76" t="s">
        <v>48</v>
      </c>
      <c r="E76" t="str">
        <f>Table4[[#This Row],[Merkki]] &amp; " " &amp; Table4[[#This Row],[Malli]]</f>
        <v>Xplora Watch XGO3 4G – lasten kellopuhelin</v>
      </c>
      <c r="F76" t="str">
        <f xml:space="preserve"> Table4[[#This Row],[Liike]] &amp; " " &amp; Table4[[#This Row],[Merkki ja malli]]</f>
        <v>Puhelinhuolto Xplora Watch XGO3 4G – lasten kellopuhelin</v>
      </c>
      <c r="G76" t="s">
        <v>52</v>
      </c>
      <c r="I76" s="29" cm="1">
        <f t="array" ref="I76">_xlfn.XLOOKUP(Table4[[#This Row],[Malli]],'Älykello tuotehinta'!$A$2:$A$6,_xlfn.XLOOKUP(Table4[[#This Row],[Tuote]],'Älykello tuotehinta'!$B$1:$D$1,'Älykello tuotehinta'!$B$2:$D$6))</f>
        <v>11</v>
      </c>
      <c r="J76" s="29">
        <f>_xlfn.XLOOKUP(Table4[[#This Row],[Malli]],'Älykellon Hinta'!$B$2:$B$6,'Älykellon Hinta'!$C$2:$C$6)</f>
        <v>134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3B68D1-06F7-4F79-86AA-4953698D09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Liikkeet</vt:lpstr>
      <vt:lpstr>Puhelin merkki ja malli</vt:lpstr>
      <vt:lpstr>Puhelin tuotehinta</vt:lpstr>
      <vt:lpstr>Puhelin Hinta</vt:lpstr>
      <vt:lpstr>Älykello merkki ja malli</vt:lpstr>
      <vt:lpstr>Älykello tuotehinta</vt:lpstr>
      <vt:lpstr>Älykellon Hinta</vt:lpstr>
      <vt:lpstr>DataPuhelimista</vt:lpstr>
      <vt:lpstr>DataÄlykelloista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Karlsson</dc:creator>
  <cp:lastModifiedBy>Kalle Karlsson</cp:lastModifiedBy>
  <dcterms:created xsi:type="dcterms:W3CDTF">2025-04-27T14:41:16Z</dcterms:created>
  <dcterms:modified xsi:type="dcterms:W3CDTF">2025-05-06T13:35:43Z</dcterms:modified>
</cp:coreProperties>
</file>